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pivotCache/pivotCacheDefinition9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rcelo\Desktop\Quintana\"/>
    </mc:Choice>
  </mc:AlternateContent>
  <xr:revisionPtr revIDLastSave="0" documentId="13_ncr:1_{87AA9684-9507-4BA5-BA82-5E7166815EB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egistro" sheetId="8" r:id="rId1"/>
    <sheet name="Calculadora" sheetId="5" r:id="rId2"/>
    <sheet name="Precios" sheetId="2" state="hidden" r:id="rId3"/>
    <sheet name="Pedidos" sheetId="9" r:id="rId4"/>
    <sheet name="DetallePedido" sheetId="10" r:id="rId5"/>
    <sheet name="TabDinam" sheetId="11" state="hidden" r:id="rId6"/>
    <sheet name="Dashboard" sheetId="12" r:id="rId7"/>
    <sheet name="Opciones" sheetId="7" state="hidden" r:id="rId8"/>
  </sheets>
  <definedNames>
    <definedName name="_xlcn.WorksheetConnection_RegistrodePedidos.xlsmDetallePedido" hidden="1">DetallePedido[]</definedName>
    <definedName name="_xlcn.WorksheetConnection_RegistrodePedidos.xlsmPedidos" hidden="1">Pedidos[]</definedName>
    <definedName name="BARNIZ">Opciones!$D$2:$D$3</definedName>
    <definedName name="BARNIZ_ACRÍLICO">Opciones!$E$2:$E$3</definedName>
    <definedName name="FIGURA_COLOR_SELECCIÓN">Opciones!$A$2:$A$5</definedName>
    <definedName name="Insumos">Precios!$A$1:$L$6</definedName>
    <definedName name="SegmentaciónDeDatos_Cliente">#N/A</definedName>
    <definedName name="Timeline_Fecha">#N/A</definedName>
    <definedName name="TRAT">Registro!$E$11:$E$22</definedName>
  </definedNames>
  <calcPr calcId="191029"/>
  <pivotCaches>
    <pivotCache cacheId="0" r:id="rId9"/>
    <pivotCache cacheId="1" r:id="rId10"/>
    <pivotCache cacheId="2" r:id="rId11"/>
    <pivotCache cacheId="3" r:id="rId12"/>
    <pivotCache cacheId="4" r:id="rId13"/>
    <pivotCache cacheId="5" r:id="rId14"/>
    <pivotCache cacheId="6" r:id="rId15"/>
  </pivotCaches>
  <extLst>
    <ext xmlns:x14="http://schemas.microsoft.com/office/spreadsheetml/2009/9/main" uri="{876F7934-8845-4945-9796-88D515C7AA90}">
      <x14:pivotCaches>
        <pivotCache cacheId="7" r:id="rId16"/>
      </x14:pivotCaches>
    </ext>
    <ext xmlns:x14="http://schemas.microsoft.com/office/spreadsheetml/2009/9/main" uri="{BBE1A952-AA13-448e-AADC-164F8A28A991}">
      <x14:slicerCaches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8" r:id="rId18"/>
      </x15:timelineCachePivotCaches>
    </ext>
    <ext xmlns:x15="http://schemas.microsoft.com/office/spreadsheetml/2010/11/main" uri="{D0CA8CA8-9F24-4464-BF8E-62219DCF47F9}">
      <x15:timelineCacheRefs>
        <x15:timelineCacheRef r:id="rId19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edidos" name="Pedidos" connection="WorksheetConnection_Registro de Pedidos.xlsm!Pedidos"/>
          <x15:modelTable id="DetallePedido" name="DetallePedido" connection="WorksheetConnection_Registro de Pedidos.xlsm!DetallePedido"/>
        </x15:modelTables>
        <x15:modelRelationships>
          <x15:modelRelationship fromTable="DetallePedido" fromColumn="IdPedido" toTable="Pedidos" toColumn="IdPedid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5" l="1"/>
  <c r="D23" i="5"/>
  <c r="D21" i="5"/>
  <c r="D19" i="5"/>
  <c r="D17" i="5"/>
  <c r="D15" i="5"/>
  <c r="D13" i="5"/>
  <c r="D11" i="5"/>
  <c r="D7" i="5"/>
  <c r="H7" i="5" s="1"/>
  <c r="D5" i="5"/>
  <c r="F25" i="5" l="1"/>
  <c r="H25" i="5" s="1"/>
  <c r="H11" i="5" l="1"/>
  <c r="F23" i="5" l="1"/>
  <c r="H23" i="5" s="1"/>
  <c r="F21" i="5"/>
  <c r="H21" i="5" s="1"/>
  <c r="F15" i="5"/>
  <c r="H15" i="5" s="1"/>
  <c r="F19" i="5"/>
  <c r="H19" i="5" s="1"/>
  <c r="F17" i="5"/>
  <c r="H17" i="5" s="1"/>
  <c r="F13" i="5"/>
  <c r="H13" i="5" s="1"/>
  <c r="F6" i="8"/>
  <c r="H27" i="5" l="1"/>
  <c r="C8" i="8" l="1"/>
  <c r="H29" i="5"/>
  <c r="F8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</author>
  </authors>
  <commentList>
    <comment ref="E10" authorId="0" shapeId="0" xr:uid="{A039E569-BD7F-4005-B73E-FDEDF68DCEDB}">
      <text>
        <r>
          <rPr>
            <b/>
            <sz val="9"/>
            <color indexed="81"/>
            <rFont val="Tahoma"/>
            <family val="2"/>
          </rPr>
          <t>Marcelo:</t>
        </r>
        <r>
          <rPr>
            <sz val="9"/>
            <color indexed="81"/>
            <rFont val="Tahoma"/>
            <family val="2"/>
          </rPr>
          <t xml:space="preserve">
¿Ó Tipo de Trabajo?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</author>
  </authors>
  <commentList>
    <comment ref="A1" authorId="0" shapeId="0" xr:uid="{3713283B-0178-436E-8571-237A4CACD402}">
      <text>
        <r>
          <rPr>
            <b/>
            <sz val="12"/>
            <color indexed="81"/>
            <rFont val="Tahoma"/>
            <family val="2"/>
          </rPr>
          <t>Marcelo:</t>
        </r>
        <r>
          <rPr>
            <sz val="12"/>
            <color indexed="81"/>
            <rFont val="Tahoma"/>
            <family val="2"/>
          </rPr>
          <t xml:space="preserve">
Esta hoja está protegida...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</author>
  </authors>
  <commentList>
    <comment ref="A1" authorId="0" shapeId="0" xr:uid="{88138AE4-291A-4EC7-BA49-0145C0F861A6}">
      <text>
        <r>
          <rPr>
            <b/>
            <sz val="9"/>
            <color indexed="81"/>
            <rFont val="Tahoma"/>
            <family val="2"/>
          </rPr>
          <t>Marcelo:</t>
        </r>
        <r>
          <rPr>
            <sz val="9"/>
            <color indexed="81"/>
            <rFont val="Tahoma"/>
            <family val="2"/>
          </rPr>
          <t xml:space="preserve">
Precio por millar: 
(1400) 1m (2400) 2m (2500) 3m</t>
        </r>
      </text>
    </comment>
    <comment ref="F1" authorId="0" shapeId="0" xr:uid="{22AD271E-8247-44CC-BD26-55091214F37A}">
      <text>
        <r>
          <rPr>
            <b/>
            <sz val="9"/>
            <color indexed="81"/>
            <rFont val="Tahoma"/>
            <family val="2"/>
          </rPr>
          <t>Marcelo:</t>
        </r>
        <r>
          <rPr>
            <sz val="9"/>
            <color indexed="81"/>
            <rFont val="Tahoma"/>
            <family val="2"/>
          </rPr>
          <t xml:space="preserve">
K es negro; M, magenta; C, Cyan; A, Amarillo.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</author>
  </authors>
  <commentList>
    <comment ref="A1" authorId="0" shapeId="0" xr:uid="{07EBD91C-8411-4E5C-B20F-E5BE1B98C1DE}">
      <text>
        <r>
          <rPr>
            <b/>
            <sz val="9"/>
            <color indexed="81"/>
            <rFont val="Tahoma"/>
            <family val="2"/>
          </rPr>
          <t>Marcelo:</t>
        </r>
        <r>
          <rPr>
            <sz val="9"/>
            <color indexed="81"/>
            <rFont val="Tahoma"/>
            <family val="2"/>
          </rPr>
          <t xml:space="preserve">
Debe haber al menos un registro...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</author>
  </authors>
  <commentList>
    <comment ref="A1" authorId="0" shapeId="0" xr:uid="{400A3FCC-ED80-4C71-9DE9-1EBF13807B2D}">
      <text>
        <r>
          <rPr>
            <b/>
            <sz val="9"/>
            <color indexed="81"/>
            <rFont val="Tahoma"/>
            <family val="2"/>
          </rPr>
          <t>Marcelo:</t>
        </r>
        <r>
          <rPr>
            <sz val="9"/>
            <color indexed="81"/>
            <rFont val="Tahoma"/>
            <family val="2"/>
          </rPr>
          <t xml:space="preserve">
Debe haber al menos un registro…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476CCC-69F9-4E45-A3B1-DE19E3E1171F}" keepAlive="1" name="ThisWorkbookDataModel" description="Modelo de dat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5AA3C30-6AB0-42C3-AB26-A551C1725AA5}" name="WorksheetConnection_Registro de Pedidos.xlsm!DetallePedido" type="102" refreshedVersion="6" minRefreshableVersion="5">
    <extLst>
      <ext xmlns:x15="http://schemas.microsoft.com/office/spreadsheetml/2010/11/main" uri="{DE250136-89BD-433C-8126-D09CA5730AF9}">
        <x15:connection id="DetallePedido">
          <x15:rangePr sourceName="_xlcn.WorksheetConnection_RegistrodePedidos.xlsmDetallePedido"/>
        </x15:connection>
      </ext>
    </extLst>
  </connection>
  <connection id="3" xr16:uid="{6E657C90-D9DC-45C3-AF9B-D242A9412745}" name="WorksheetConnection_Registro de Pedidos.xlsm!Pedidos" type="102" refreshedVersion="6" minRefreshableVersion="5">
    <extLst>
      <ext xmlns:x15="http://schemas.microsoft.com/office/spreadsheetml/2010/11/main" uri="{DE250136-89BD-433C-8126-D09CA5730AF9}">
        <x15:connection id="Pedidos">
          <x15:rangePr sourceName="_xlcn.WorksheetConnection_RegistrodePedidos.xlsmPedidos"/>
        </x15:connection>
      </ext>
    </extLst>
  </connection>
</connections>
</file>

<file path=xl/sharedStrings.xml><?xml version="1.0" encoding="utf-8"?>
<sst xmlns="http://schemas.openxmlformats.org/spreadsheetml/2006/main" count="384" uniqueCount="106">
  <si>
    <t>PRECIO</t>
  </si>
  <si>
    <t>Wilson</t>
  </si>
  <si>
    <t>Fukuda</t>
  </si>
  <si>
    <t>Scaramutti</t>
  </si>
  <si>
    <t xml:space="preserve">Clientes </t>
  </si>
  <si>
    <t xml:space="preserve">Barniz </t>
  </si>
  <si>
    <t>Alarcon</t>
  </si>
  <si>
    <t>ColEsp</t>
  </si>
  <si>
    <t>DorPlFluor</t>
  </si>
  <si>
    <t>FondoEsp</t>
  </si>
  <si>
    <t>FondoSel</t>
  </si>
  <si>
    <t>Seleccion</t>
  </si>
  <si>
    <t>BarnizAcril</t>
  </si>
  <si>
    <t>1ColSel</t>
  </si>
  <si>
    <t>2ColSel</t>
  </si>
  <si>
    <t>3ColSel</t>
  </si>
  <si>
    <t>CANTIDAD</t>
  </si>
  <si>
    <t>SUBTOTAL / MILLAR</t>
  </si>
  <si>
    <t>TOTAL / MILLAR</t>
  </si>
  <si>
    <t>TOTAL</t>
  </si>
  <si>
    <t>CALCULADORA DE PRECIOS</t>
  </si>
  <si>
    <t>Otros</t>
  </si>
  <si>
    <t>-</t>
  </si>
  <si>
    <t xml:space="preserve">CLIENTE: </t>
  </si>
  <si>
    <t xml:space="preserve">CANTIDAD: </t>
  </si>
  <si>
    <t xml:space="preserve">CANTIDAD DE MILLARES: </t>
  </si>
  <si>
    <t xml:space="preserve">BARNIZ  </t>
  </si>
  <si>
    <t xml:space="preserve">BARNIZ ACRÍLICO  </t>
  </si>
  <si>
    <t xml:space="preserve">FONDO SELECCIÓN  </t>
  </si>
  <si>
    <t xml:space="preserve">FONDO ESPECIAL  </t>
  </si>
  <si>
    <t>TRATAMIENTO</t>
  </si>
  <si>
    <t>BARNIZ</t>
  </si>
  <si>
    <t>BRILLO</t>
  </si>
  <si>
    <t>MATE</t>
  </si>
  <si>
    <t>FONDO ESPECIAL</t>
  </si>
  <si>
    <t>FONDO SELECCIÓN</t>
  </si>
  <si>
    <t>FIGURA COLOR SELECCIÓN</t>
  </si>
  <si>
    <t>FIGURA COLOR ESPECIAL</t>
  </si>
  <si>
    <t>NEGRO</t>
  </si>
  <si>
    <t>AMARILLO</t>
  </si>
  <si>
    <t>CIAN</t>
  </si>
  <si>
    <t>MAGENTA</t>
  </si>
  <si>
    <t>ESPECIFICACIÓN</t>
  </si>
  <si>
    <t>CLIENTE:</t>
  </si>
  <si>
    <t>CANTIDAD DE MILLARES:</t>
  </si>
  <si>
    <t>CANTIDAD:</t>
  </si>
  <si>
    <t>FECHA:</t>
  </si>
  <si>
    <t>TIRA / RETIRA:</t>
  </si>
  <si>
    <t>REGISTRO DE PEDIDOS</t>
  </si>
  <si>
    <t>FIGURA_COLOR_SELECCIÓN</t>
  </si>
  <si>
    <t>BARNIZ_ACRÍLICO</t>
  </si>
  <si>
    <t>TOTAL / MILLAR:</t>
  </si>
  <si>
    <t>FIGURA COLOR FL. / MET.</t>
  </si>
  <si>
    <t>FONDO FL. / MET.</t>
  </si>
  <si>
    <t>FIG. COL. SEL.</t>
  </si>
  <si>
    <t>FIG. COL. ESP.</t>
  </si>
  <si>
    <t>FIG. COL. FL. / MET.</t>
  </si>
  <si>
    <t>FondoFlMet</t>
  </si>
  <si>
    <t>T</t>
  </si>
  <si>
    <t>IdPedido</t>
  </si>
  <si>
    <t>Cliente</t>
  </si>
  <si>
    <t>Fecha</t>
  </si>
  <si>
    <t>Concepto</t>
  </si>
  <si>
    <t>PrecioMillar</t>
  </si>
  <si>
    <t>CanPedida</t>
  </si>
  <si>
    <t>TotFactura</t>
  </si>
  <si>
    <t>T_R</t>
  </si>
  <si>
    <t>Tratamiento</t>
  </si>
  <si>
    <t>Especificacion</t>
  </si>
  <si>
    <t>CanMillares</t>
  </si>
  <si>
    <t>Etiquetas de fila</t>
  </si>
  <si>
    <t>Total general</t>
  </si>
  <si>
    <t>Recuento de Tratamiento</t>
  </si>
  <si>
    <t>ID PEDIDO</t>
  </si>
  <si>
    <t>TOTAL FACTURA:</t>
  </si>
  <si>
    <t>Recuento de Especificacion</t>
  </si>
  <si>
    <t>Recuento de IdPedido</t>
  </si>
  <si>
    <t>FUKUDA</t>
  </si>
  <si>
    <t>COLOR SELECCIÓN</t>
  </si>
  <si>
    <t>COLOR ESPECIAL</t>
  </si>
  <si>
    <t>COLOR FL. /MET.</t>
  </si>
  <si>
    <t>ALARCON</t>
  </si>
  <si>
    <t>BARNIZ ACRILICO</t>
  </si>
  <si>
    <t>NARANJA</t>
  </si>
  <si>
    <t>VERDE</t>
  </si>
  <si>
    <t>WILSON</t>
  </si>
  <si>
    <t>MORADO</t>
  </si>
  <si>
    <t>DORADO</t>
  </si>
  <si>
    <t>ELMER</t>
  </si>
  <si>
    <t>WILFREDO</t>
  </si>
  <si>
    <t>PLATEADO</t>
  </si>
  <si>
    <t>MARRON</t>
  </si>
  <si>
    <t>VERDE LIMON</t>
  </si>
  <si>
    <t>VISION</t>
  </si>
  <si>
    <t>VERDE NEON</t>
  </si>
  <si>
    <t>CELESTE NEON</t>
  </si>
  <si>
    <t>T/R</t>
  </si>
  <si>
    <t>VIDAL</t>
  </si>
  <si>
    <t>AZUL</t>
  </si>
  <si>
    <t>PLOMO</t>
  </si>
  <si>
    <t>WILLIAM</t>
  </si>
  <si>
    <t>CELESTE</t>
  </si>
  <si>
    <t>RAMIREZ</t>
  </si>
  <si>
    <t>VICTOR</t>
  </si>
  <si>
    <t>ESTHER</t>
  </si>
  <si>
    <t>BARNIZ ACRÍLICO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</si>
</sst>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i/>
      <u/>
      <sz val="12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5" borderId="11" xfId="0" applyFill="1" applyBorder="1" applyAlignment="1" applyProtection="1">
      <alignment horizontal="center"/>
      <protection locked="0"/>
    </xf>
    <xf numFmtId="0" fontId="0" fillId="5" borderId="11" xfId="0" applyFill="1" applyBorder="1" applyAlignment="1" applyProtection="1">
      <protection locked="0"/>
    </xf>
    <xf numFmtId="0" fontId="0" fillId="6" borderId="0" xfId="0" applyFill="1" applyProtection="1"/>
    <xf numFmtId="0" fontId="0" fillId="5" borderId="6" xfId="0" applyFill="1" applyBorder="1" applyProtection="1"/>
    <xf numFmtId="0" fontId="0" fillId="5" borderId="0" xfId="0" applyFill="1" applyBorder="1" applyProtection="1"/>
    <xf numFmtId="0" fontId="0" fillId="5" borderId="7" xfId="0" applyFill="1" applyBorder="1" applyProtection="1"/>
    <xf numFmtId="0" fontId="4" fillId="5" borderId="0" xfId="0" applyFont="1" applyFill="1" applyBorder="1" applyAlignment="1" applyProtection="1">
      <alignment horizontal="right"/>
    </xf>
    <xf numFmtId="0" fontId="4" fillId="5" borderId="0" xfId="0" applyFont="1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/>
    </xf>
    <xf numFmtId="0" fontId="0" fillId="5" borderId="0" xfId="0" applyFill="1" applyBorder="1" applyAlignment="1" applyProtection="1"/>
    <xf numFmtId="0" fontId="4" fillId="2" borderId="11" xfId="0" applyFont="1" applyFill="1" applyBorder="1" applyAlignment="1" applyProtection="1">
      <alignment horizontal="right"/>
    </xf>
    <xf numFmtId="0" fontId="0" fillId="5" borderId="8" xfId="0" applyFill="1" applyBorder="1" applyProtection="1"/>
    <xf numFmtId="0" fontId="0" fillId="5" borderId="9" xfId="0" applyFill="1" applyBorder="1" applyProtection="1"/>
    <xf numFmtId="0" fontId="0" fillId="5" borderId="10" xfId="0" applyFill="1" applyBorder="1" applyProtection="1"/>
    <xf numFmtId="0" fontId="0" fillId="7" borderId="11" xfId="0" applyFill="1" applyBorder="1" applyAlignment="1" applyProtection="1">
      <alignment horizontal="right"/>
    </xf>
    <xf numFmtId="0" fontId="0" fillId="7" borderId="11" xfId="0" applyFill="1" applyBorder="1" applyAlignment="1" applyProtection="1"/>
    <xf numFmtId="0" fontId="0" fillId="5" borderId="0" xfId="0" applyFill="1" applyProtection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0" fillId="5" borderId="11" xfId="0" applyFill="1" applyBorder="1" applyAlignment="1" applyProtection="1">
      <alignment horizontal="center"/>
    </xf>
    <xf numFmtId="0" fontId="0" fillId="5" borderId="11" xfId="0" applyFill="1" applyBorder="1" applyAlignment="1" applyProtection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10" borderId="1" xfId="0" applyFill="1" applyBorder="1" applyAlignment="1"/>
    <xf numFmtId="0" fontId="0" fillId="5" borderId="12" xfId="0" applyFill="1" applyBorder="1" applyAlignment="1" applyProtection="1">
      <protection locked="0"/>
    </xf>
    <xf numFmtId="0" fontId="0" fillId="5" borderId="0" xfId="0" applyFill="1" applyBorder="1" applyAlignment="1" applyProtection="1">
      <alignment horizontal="right"/>
    </xf>
    <xf numFmtId="0" fontId="0" fillId="5" borderId="0" xfId="0" applyFill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horizontal="center" vertical="center"/>
    </xf>
    <xf numFmtId="14" fontId="0" fillId="5" borderId="11" xfId="0" applyNumberFormat="1" applyFill="1" applyBorder="1" applyAlignment="1" applyProtection="1">
      <protection locked="0"/>
    </xf>
    <xf numFmtId="0" fontId="3" fillId="11" borderId="1" xfId="0" applyFont="1" applyFill="1" applyBorder="1" applyAlignment="1">
      <alignment horizontal="center"/>
    </xf>
    <xf numFmtId="0" fontId="3" fillId="11" borderId="2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2" borderId="0" xfId="0" applyFill="1"/>
    <xf numFmtId="0" fontId="0" fillId="7" borderId="12" xfId="0" applyFill="1" applyBorder="1" applyAlignment="1" applyProtection="1">
      <protection locked="0"/>
    </xf>
    <xf numFmtId="0" fontId="0" fillId="0" borderId="0" xfId="0" applyAlignment="1">
      <alignment horizontal="left" indent="1"/>
    </xf>
    <xf numFmtId="0" fontId="6" fillId="9" borderId="3" xfId="0" applyFont="1" applyFill="1" applyBorder="1" applyAlignment="1" applyProtection="1">
      <alignment horizontal="center" vertical="center"/>
    </xf>
    <xf numFmtId="0" fontId="6" fillId="9" borderId="4" xfId="0" applyFont="1" applyFill="1" applyBorder="1" applyAlignment="1" applyProtection="1">
      <alignment horizontal="center" vertical="center"/>
    </xf>
    <xf numFmtId="0" fontId="6" fillId="9" borderId="5" xfId="0" applyFont="1" applyFill="1" applyBorder="1" applyAlignment="1" applyProtection="1">
      <alignment horizontal="center" vertical="center"/>
    </xf>
    <xf numFmtId="0" fontId="6" fillId="9" borderId="6" xfId="0" applyFont="1" applyFill="1" applyBorder="1" applyAlignment="1" applyProtection="1">
      <alignment horizontal="center" vertical="center"/>
    </xf>
    <xf numFmtId="0" fontId="6" fillId="9" borderId="0" xfId="0" applyFont="1" applyFill="1" applyBorder="1" applyAlignment="1" applyProtection="1">
      <alignment horizontal="center" vertical="center"/>
    </xf>
    <xf numFmtId="0" fontId="6" fillId="9" borderId="7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5" fillId="4" borderId="6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7">
    <dxf>
      <fill>
        <patternFill patternType="solid">
          <fgColor indexed="64"/>
          <bgColor rgb="FFFFFF00"/>
        </patternFill>
      </fill>
    </dxf>
    <dxf>
      <alignment horizontal="center" vertical="bottom" textRotation="0" wrapText="0" indent="0" justifyLastLine="0" shrinkToFit="0" readingOrder="0"/>
    </dxf>
    <dxf>
      <numFmt numFmtId="19" formatCode="dd/mm/yyyy"/>
    </dxf>
    <dxf>
      <fill>
        <patternFill patternType="solid">
          <fgColor indexed="64"/>
          <bgColor rgb="FFFFFF00"/>
        </patternFill>
      </fill>
    </dxf>
    <dxf>
      <alignment horizontal="center" vertical="bottom" textRotation="0" wrapText="0" indent="0" justifyLastLine="0" shrinkToFit="0" readingOrder="0"/>
    </dxf>
    <dxf>
      <font>
        <b/>
        <sz val="11"/>
        <color theme="1"/>
      </font>
      <fill>
        <patternFill>
          <bgColor theme="9"/>
        </patternFill>
      </fill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9"/>
        </patternFill>
      </fill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rgb="FF92D050"/>
        </patternFill>
      </fill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theme="9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rgb="FF92D050"/>
        </patternFill>
      </fill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7" defaultTableStyle="TableStyleMedium2" defaultPivotStyle="PivotStyleLight16">
    <tableStyle name="Estilo de escala de tiempo 1" pivot="0" table="0" count="8" xr9:uid="{4A778330-7A24-42C3-A1D8-BD6DB26118A9}">
      <tableStyleElement type="wholeTable" dxfId="16"/>
      <tableStyleElement type="headerRow" dxfId="15"/>
    </tableStyle>
    <tableStyle name="Estilo de tabla dinámica 1" table="0" count="0" xr9:uid="{00000000-0011-0000-FFFF-FFFF00000000}"/>
    <tableStyle name="SlicerStyleDark6 2" pivot="0" table="0" count="10" xr9:uid="{5BD16AC8-B4CC-486A-AD60-25BCC6ED9130}">
      <tableStyleElement type="wholeTable" dxfId="14"/>
      <tableStyleElement type="headerRow" dxfId="13"/>
    </tableStyle>
    <tableStyle name="SlicerStyleDark6 2 2" pivot="0" table="0" count="10" xr9:uid="{66631B72-F22D-4986-B5D8-0243291E1C56}">
      <tableStyleElement type="wholeTable" dxfId="12"/>
      <tableStyleElement type="headerRow" dxfId="11"/>
    </tableStyle>
    <tableStyle name="SlicerStyleDark6 2 3" pivot="0" table="0" count="10" xr9:uid="{1914214E-2622-4DB3-9B92-55C2E592C2F9}">
      <tableStyleElement type="wholeTable" dxfId="10"/>
      <tableStyleElement type="headerRow" dxfId="9"/>
    </tableStyle>
    <tableStyle name="TimeSlicerStyleDark6 2" pivot="0" table="0" count="9" xr9:uid="{2922F005-D5CA-4842-B624-3612860E84AF}">
      <tableStyleElement type="wholeTable" dxfId="8"/>
      <tableStyleElement type="headerRow" dxfId="7"/>
    </tableStyle>
    <tableStyle name="TimeSlicerStyleDark6 2 2" pivot="0" table="0" count="9" xr9:uid="{01D7D6E0-131E-42B5-B304-4C210A3FF151}">
      <tableStyleElement type="wholeTable" dxfId="6"/>
      <tableStyleElement type="headerRow" dxfId="5"/>
    </tableStyle>
  </tableStyle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Dark6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Dark6 2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20">
        <dxf>
          <fill>
            <patternFill patternType="solid">
              <fgColor theme="9" tint="0.39997558519241921"/>
              <bgColor theme="9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/>
              </stop>
              <stop position="1">
                <color theme="9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9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9" tint="0.39997558519241921"/>
              <bgColor theme="9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/>
              </stop>
              <stop position="1">
                <color theme="9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9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19"/>
            <x15:timelineStyleElement type="timeLevel" dxfId="18"/>
            <x15:timelineStyleElement type="periodLabel1" dxfId="17"/>
            <x15:timelineStyleElement type="periodLabel2" dxfId="16"/>
            <x15:timelineStyleElement type="selectedTimeBlock" dxfId="15"/>
            <x15:timelineStyleElement type="unselectedTimeBlock" dxfId="14"/>
          </x15:timelineStyleElements>
        </x15:timelineStyle>
        <x15:timelineStyle name="TimeSlicerStyleDark6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Dark6 2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9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07/relationships/slicerCache" Target="slicerCaches/slicerCache1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2.xml"/><Relationship Id="rId19" Type="http://schemas.microsoft.com/office/2011/relationships/timelineCache" Target="timelineCaches/timelineCache1.xml"/><Relationship Id="rId31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Pedidos (con dashboard) - copia.xlsm]TabDinam!TablaDinámica1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TabDinam!$C$3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TabDinam!$B$4:$B$11</c:f>
              <c:strCache>
                <c:ptCount val="7"/>
                <c:pt idx="0">
                  <c:v>BARNIZ</c:v>
                </c:pt>
                <c:pt idx="1">
                  <c:v>BARNIZ ACRÍLICO</c:v>
                </c:pt>
                <c:pt idx="2">
                  <c:v>FIGURA COLOR ESPECIAL</c:v>
                </c:pt>
                <c:pt idx="3">
                  <c:v>FIGURA COLOR FL. / MET.</c:v>
                </c:pt>
                <c:pt idx="4">
                  <c:v>FIGURA COLOR SELECCIÓN</c:v>
                </c:pt>
                <c:pt idx="5">
                  <c:v>FONDO ESPECIAL</c:v>
                </c:pt>
                <c:pt idx="6">
                  <c:v>FONDO SELECCIÓN</c:v>
                </c:pt>
              </c:strCache>
            </c:strRef>
          </c:cat>
          <c:val>
            <c:numRef>
              <c:f>TabDinam!$C$4:$C$11</c:f>
              <c:numCache>
                <c:formatCode>General</c:formatCode>
                <c:ptCount val="7"/>
                <c:pt idx="0">
                  <c:v>7</c:v>
                </c:pt>
                <c:pt idx="1">
                  <c:v>4</c:v>
                </c:pt>
                <c:pt idx="2">
                  <c:v>23</c:v>
                </c:pt>
                <c:pt idx="3">
                  <c:v>13</c:v>
                </c:pt>
                <c:pt idx="4">
                  <c:v>43</c:v>
                </c:pt>
                <c:pt idx="5">
                  <c:v>8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1-4889-B04A-33D8C8767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4393384"/>
        <c:axId val="804394040"/>
      </c:barChart>
      <c:catAx>
        <c:axId val="804393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4394040"/>
        <c:crosses val="autoZero"/>
        <c:auto val="1"/>
        <c:lblAlgn val="ctr"/>
        <c:lblOffset val="100"/>
        <c:noMultiLvlLbl val="0"/>
      </c:catAx>
      <c:valAx>
        <c:axId val="80439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4393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Pedidos (con dashboard) - copia.xlsm]TabDinam!TablaDinámica2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TabDinam!$G$3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TabDinam!$F$4:$F$8</c:f>
              <c:strCache>
                <c:ptCount val="4"/>
                <c:pt idx="0">
                  <c:v>AMARILLO</c:v>
                </c:pt>
                <c:pt idx="1">
                  <c:v>CIAN</c:v>
                </c:pt>
                <c:pt idx="2">
                  <c:v>MAGENTA</c:v>
                </c:pt>
                <c:pt idx="3">
                  <c:v>NEGRO</c:v>
                </c:pt>
              </c:strCache>
            </c:strRef>
          </c:cat>
          <c:val>
            <c:numRef>
              <c:f>TabDinam!$G$4:$G$8</c:f>
              <c:numCache>
                <c:formatCode>General</c:formatCode>
                <c:ptCount val="4"/>
                <c:pt idx="0">
                  <c:v>10</c:v>
                </c:pt>
                <c:pt idx="1">
                  <c:v>11</c:v>
                </c:pt>
                <c:pt idx="2">
                  <c:v>11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7D6-B582-066BF0F67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11294728"/>
        <c:axId val="811296696"/>
      </c:barChart>
      <c:catAx>
        <c:axId val="811294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96696"/>
        <c:crosses val="autoZero"/>
        <c:auto val="1"/>
        <c:lblAlgn val="ctr"/>
        <c:lblOffset val="100"/>
        <c:noMultiLvlLbl val="0"/>
      </c:catAx>
      <c:valAx>
        <c:axId val="81129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9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Pedidos (con dashboard) - copia.xlsm]TabDinam!TablaDinámica4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TabDinam!$K$3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TabDinam!$J$4:$J$12</c:f>
              <c:strCache>
                <c:ptCount val="8"/>
                <c:pt idx="0">
                  <c:v>AZUL</c:v>
                </c:pt>
                <c:pt idx="1">
                  <c:v>CELESTE</c:v>
                </c:pt>
                <c:pt idx="2">
                  <c:v>MARRON</c:v>
                </c:pt>
                <c:pt idx="3">
                  <c:v>MORADO</c:v>
                </c:pt>
                <c:pt idx="4">
                  <c:v>NARANJA</c:v>
                </c:pt>
                <c:pt idx="5">
                  <c:v>PLOMO</c:v>
                </c:pt>
                <c:pt idx="6">
                  <c:v>VERDE</c:v>
                </c:pt>
                <c:pt idx="7">
                  <c:v>VERDE LIMON</c:v>
                </c:pt>
              </c:strCache>
            </c:strRef>
          </c:cat>
          <c:val>
            <c:numRef>
              <c:f>TabDinam!$K$4:$K$12</c:f>
              <c:numCache>
                <c:formatCode>General</c:formatCode>
                <c:ptCount val="8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7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EC-41E9-9D75-FE4C68470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11292104"/>
        <c:axId val="811297352"/>
      </c:barChart>
      <c:catAx>
        <c:axId val="811292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97352"/>
        <c:crosses val="autoZero"/>
        <c:auto val="1"/>
        <c:lblAlgn val="ctr"/>
        <c:lblOffset val="100"/>
        <c:noMultiLvlLbl val="0"/>
      </c:catAx>
      <c:valAx>
        <c:axId val="811297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92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Pedidos (con dashboard) - copia.xlsm]TabDinam!TablaDinámica5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TabDinam!$O$3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TabDinam!$N$4:$N$8</c:f>
              <c:strCache>
                <c:ptCount val="4"/>
                <c:pt idx="0">
                  <c:v>CELESTE NEON</c:v>
                </c:pt>
                <c:pt idx="1">
                  <c:v>DORADO</c:v>
                </c:pt>
                <c:pt idx="2">
                  <c:v>PLATEADO</c:v>
                </c:pt>
                <c:pt idx="3">
                  <c:v>VERDE NEON</c:v>
                </c:pt>
              </c:strCache>
            </c:strRef>
          </c:cat>
          <c:val>
            <c:numRef>
              <c:f>TabDinam!$O$4:$O$8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5-4A16-9571-6D5C5D41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11290792"/>
        <c:axId val="811283248"/>
      </c:barChart>
      <c:catAx>
        <c:axId val="811290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83248"/>
        <c:crosses val="autoZero"/>
        <c:auto val="1"/>
        <c:lblAlgn val="ctr"/>
        <c:lblOffset val="100"/>
        <c:noMultiLvlLbl val="0"/>
      </c:catAx>
      <c:valAx>
        <c:axId val="81128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9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Pedidos (con dashboard) - copia.xlsm]TabDinam!TablaDinámica3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TabDinam!$S$3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TabDinam!$R$4:$R$15</c:f>
              <c:strCache>
                <c:ptCount val="11"/>
                <c:pt idx="0">
                  <c:v>ALARCON</c:v>
                </c:pt>
                <c:pt idx="1">
                  <c:v>ELMER</c:v>
                </c:pt>
                <c:pt idx="2">
                  <c:v>ESTHER</c:v>
                </c:pt>
                <c:pt idx="3">
                  <c:v>FUKUDA</c:v>
                </c:pt>
                <c:pt idx="4">
                  <c:v>RAMIREZ</c:v>
                </c:pt>
                <c:pt idx="5">
                  <c:v>VICTOR</c:v>
                </c:pt>
                <c:pt idx="6">
                  <c:v>VIDAL</c:v>
                </c:pt>
                <c:pt idx="7">
                  <c:v>VISION</c:v>
                </c:pt>
                <c:pt idx="8">
                  <c:v>WILFREDO</c:v>
                </c:pt>
                <c:pt idx="9">
                  <c:v>WILLIAM</c:v>
                </c:pt>
                <c:pt idx="10">
                  <c:v>WILSON</c:v>
                </c:pt>
              </c:strCache>
            </c:strRef>
          </c:cat>
          <c:val>
            <c:numRef>
              <c:f>TabDinam!$S$4:$S$15</c:f>
              <c:numCache>
                <c:formatCode>General</c:formatCode>
                <c:ptCount val="11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B-423F-B85E-6F23C0F6C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1305880"/>
        <c:axId val="811303256"/>
      </c:barChart>
      <c:catAx>
        <c:axId val="81130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303256"/>
        <c:crosses val="autoZero"/>
        <c:auto val="1"/>
        <c:lblAlgn val="ctr"/>
        <c:lblOffset val="100"/>
        <c:noMultiLvlLbl val="0"/>
      </c:catAx>
      <c:valAx>
        <c:axId val="8113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30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Pedidos (con dashboard) - copia.xlsm]TabDinam!TablaDinámica6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TabDinam!$W$3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B4A-46CE-8DBF-D2E63E5000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B4A-46CE-8DBF-D2E63E500089}"/>
              </c:ext>
            </c:extLst>
          </c:dPt>
          <c:cat>
            <c:multiLvlStrRef>
              <c:f>TabDinam!$V$4:$V$7</c:f>
              <c:multiLvlStrCache>
                <c:ptCount val="2"/>
                <c:lvl>
                  <c:pt idx="0">
                    <c:v>BRILLO</c:v>
                  </c:pt>
                  <c:pt idx="1">
                    <c:v>MATE</c:v>
                  </c:pt>
                </c:lvl>
                <c:lvl>
                  <c:pt idx="0">
                    <c:v>BARNIZ</c:v>
                  </c:pt>
                </c:lvl>
              </c:multiLvlStrCache>
            </c:multiLvlStrRef>
          </c:cat>
          <c:val>
            <c:numRef>
              <c:f>TabDinam!$W$4:$W$7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9-4953-920B-5DF8CD4CF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Pedidos (con dashboard) - copia.xlsm]TabDinam!TablaDinámica7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TabDinam!$AA$3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9-4F77-988D-CE32E1B064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9-4F77-988D-CE32E1B0641A}"/>
              </c:ext>
            </c:extLst>
          </c:dPt>
          <c:cat>
            <c:multiLvlStrRef>
              <c:f>TabDinam!$Z$4:$Z$7</c:f>
              <c:multiLvlStrCache>
                <c:ptCount val="2"/>
                <c:lvl>
                  <c:pt idx="0">
                    <c:v>BRILLO</c:v>
                  </c:pt>
                  <c:pt idx="1">
                    <c:v>MATE</c:v>
                  </c:pt>
                </c:lvl>
                <c:lvl>
                  <c:pt idx="0">
                    <c:v>BARNIZ ACRÍLICO</c:v>
                  </c:pt>
                </c:lvl>
              </c:multiLvlStrCache>
            </c:multiLvlStrRef>
          </c:cat>
          <c:val>
            <c:numRef>
              <c:f>TabDinam!$AA$4:$AA$7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41-488B-A9EF-736B44453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Pedidos (con dashboard) - copia.xlsm]TabDinam!TablaDinámica1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tratamientos realizado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cap="all" spc="15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TabDinam!$C$3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TabDinam!$B$4:$B$11</c:f>
              <c:strCache>
                <c:ptCount val="7"/>
                <c:pt idx="0">
                  <c:v>BARNIZ</c:v>
                </c:pt>
                <c:pt idx="1">
                  <c:v>BARNIZ ACRÍLICO</c:v>
                </c:pt>
                <c:pt idx="2">
                  <c:v>FIGURA COLOR ESPECIAL</c:v>
                </c:pt>
                <c:pt idx="3">
                  <c:v>FIGURA COLOR FL. / MET.</c:v>
                </c:pt>
                <c:pt idx="4">
                  <c:v>FIGURA COLOR SELECCIÓN</c:v>
                </c:pt>
                <c:pt idx="5">
                  <c:v>FONDO ESPECIAL</c:v>
                </c:pt>
                <c:pt idx="6">
                  <c:v>FONDO SELECCIÓN</c:v>
                </c:pt>
              </c:strCache>
            </c:strRef>
          </c:cat>
          <c:val>
            <c:numRef>
              <c:f>TabDinam!$C$4:$C$11</c:f>
              <c:numCache>
                <c:formatCode>General</c:formatCode>
                <c:ptCount val="7"/>
                <c:pt idx="0">
                  <c:v>7</c:v>
                </c:pt>
                <c:pt idx="1">
                  <c:v>4</c:v>
                </c:pt>
                <c:pt idx="2">
                  <c:v>23</c:v>
                </c:pt>
                <c:pt idx="3">
                  <c:v>13</c:v>
                </c:pt>
                <c:pt idx="4">
                  <c:v>43</c:v>
                </c:pt>
                <c:pt idx="5">
                  <c:v>8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22-4B60-A236-754593BBB9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04393384"/>
        <c:axId val="804394040"/>
      </c:barChart>
      <c:catAx>
        <c:axId val="804393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4394040"/>
        <c:crosses val="autoZero"/>
        <c:auto val="1"/>
        <c:lblAlgn val="ctr"/>
        <c:lblOffset val="100"/>
        <c:noMultiLvlLbl val="0"/>
      </c:catAx>
      <c:valAx>
        <c:axId val="804394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439338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Pedidos (con dashboard) - copia.xlsm]TabDinam!TablaDinámica2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colores selección utilizados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Vert">
            <a:fgClr>
              <a:schemeClr val="accent6"/>
            </a:fgClr>
            <a:bgClr>
              <a:schemeClr val="accent6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TabDinam!$G$3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Vert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TabDinam!$F$4:$F$8</c:f>
              <c:strCache>
                <c:ptCount val="4"/>
                <c:pt idx="0">
                  <c:v>AMARILLO</c:v>
                </c:pt>
                <c:pt idx="1">
                  <c:v>CIAN</c:v>
                </c:pt>
                <c:pt idx="2">
                  <c:v>MAGENTA</c:v>
                </c:pt>
                <c:pt idx="3">
                  <c:v>NEGRO</c:v>
                </c:pt>
              </c:strCache>
            </c:strRef>
          </c:cat>
          <c:val>
            <c:numRef>
              <c:f>TabDinam!$G$4:$G$8</c:f>
              <c:numCache>
                <c:formatCode>General</c:formatCode>
                <c:ptCount val="4"/>
                <c:pt idx="0">
                  <c:v>10</c:v>
                </c:pt>
                <c:pt idx="1">
                  <c:v>11</c:v>
                </c:pt>
                <c:pt idx="2">
                  <c:v>11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0A-4D2A-9894-AE8986734A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811294728"/>
        <c:axId val="811296696"/>
      </c:barChart>
      <c:catAx>
        <c:axId val="811294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96696"/>
        <c:crosses val="autoZero"/>
        <c:auto val="1"/>
        <c:lblAlgn val="ctr"/>
        <c:lblOffset val="100"/>
        <c:noMultiLvlLbl val="0"/>
      </c:catAx>
      <c:valAx>
        <c:axId val="811296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129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Pedidos (con dashboard) - copia.xlsm]TabDinam!TablaDinámica4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colores especiales utilizados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Vert">
            <a:fgClr>
              <a:schemeClr val="accent6"/>
            </a:fgClr>
            <a:bgClr>
              <a:schemeClr val="accent6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TabDinam!$K$3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Vert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TabDinam!$J$4:$J$12</c:f>
              <c:strCache>
                <c:ptCount val="8"/>
                <c:pt idx="0">
                  <c:v>AZUL</c:v>
                </c:pt>
                <c:pt idx="1">
                  <c:v>CELESTE</c:v>
                </c:pt>
                <c:pt idx="2">
                  <c:v>MARRON</c:v>
                </c:pt>
                <c:pt idx="3">
                  <c:v>MORADO</c:v>
                </c:pt>
                <c:pt idx="4">
                  <c:v>NARANJA</c:v>
                </c:pt>
                <c:pt idx="5">
                  <c:v>PLOMO</c:v>
                </c:pt>
                <c:pt idx="6">
                  <c:v>VERDE</c:v>
                </c:pt>
                <c:pt idx="7">
                  <c:v>VERDE LIMON</c:v>
                </c:pt>
              </c:strCache>
            </c:strRef>
          </c:cat>
          <c:val>
            <c:numRef>
              <c:f>TabDinam!$K$4:$K$12</c:f>
              <c:numCache>
                <c:formatCode>General</c:formatCode>
                <c:ptCount val="8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7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DC-40DB-97B3-D85F12D2F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811292104"/>
        <c:axId val="811297352"/>
      </c:barChart>
      <c:catAx>
        <c:axId val="811292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97352"/>
        <c:crosses val="autoZero"/>
        <c:auto val="1"/>
        <c:lblAlgn val="ctr"/>
        <c:lblOffset val="100"/>
        <c:noMultiLvlLbl val="0"/>
      </c:catAx>
      <c:valAx>
        <c:axId val="811297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129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Pedidos (con dashboard) - copia.xlsm]TabDinam!TablaDinámica5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colores fl. / met.</a:t>
            </a:r>
            <a:r>
              <a:rPr lang="en-US" sz="1400" baseline="0"/>
              <a:t> utilizados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Vert">
            <a:fgClr>
              <a:schemeClr val="accent6"/>
            </a:fgClr>
            <a:bgClr>
              <a:schemeClr val="accent6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TabDinam!$O$3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Vert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TabDinam!$N$4:$N$8</c:f>
              <c:strCache>
                <c:ptCount val="4"/>
                <c:pt idx="0">
                  <c:v>CELESTE NEON</c:v>
                </c:pt>
                <c:pt idx="1">
                  <c:v>DORADO</c:v>
                </c:pt>
                <c:pt idx="2">
                  <c:v>PLATEADO</c:v>
                </c:pt>
                <c:pt idx="3">
                  <c:v>VERDE NEON</c:v>
                </c:pt>
              </c:strCache>
            </c:strRef>
          </c:cat>
          <c:val>
            <c:numRef>
              <c:f>TabDinam!$O$4:$O$8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43-47F0-9342-0E76C4C0B1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811290792"/>
        <c:axId val="811283248"/>
      </c:barChart>
      <c:catAx>
        <c:axId val="811290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283248"/>
        <c:crosses val="autoZero"/>
        <c:auto val="1"/>
        <c:lblAlgn val="ctr"/>
        <c:lblOffset val="100"/>
        <c:noMultiLvlLbl val="0"/>
      </c:catAx>
      <c:valAx>
        <c:axId val="811283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129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Pedidos (con dashboard) - copia.xlsm]TabDinam!TablaDinámica3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pedidos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cap="all" spc="15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TabDinam!$S$3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TabDinam!$R$4:$R$15</c:f>
              <c:strCache>
                <c:ptCount val="11"/>
                <c:pt idx="0">
                  <c:v>ALARCON</c:v>
                </c:pt>
                <c:pt idx="1">
                  <c:v>ELMER</c:v>
                </c:pt>
                <c:pt idx="2">
                  <c:v>ESTHER</c:v>
                </c:pt>
                <c:pt idx="3">
                  <c:v>FUKUDA</c:v>
                </c:pt>
                <c:pt idx="4">
                  <c:v>RAMIREZ</c:v>
                </c:pt>
                <c:pt idx="5">
                  <c:v>VICTOR</c:v>
                </c:pt>
                <c:pt idx="6">
                  <c:v>VIDAL</c:v>
                </c:pt>
                <c:pt idx="7">
                  <c:v>VISION</c:v>
                </c:pt>
                <c:pt idx="8">
                  <c:v>WILFREDO</c:v>
                </c:pt>
                <c:pt idx="9">
                  <c:v>WILLIAM</c:v>
                </c:pt>
                <c:pt idx="10">
                  <c:v>WILSON</c:v>
                </c:pt>
              </c:strCache>
            </c:strRef>
          </c:cat>
          <c:val>
            <c:numRef>
              <c:f>TabDinam!$S$4:$S$15</c:f>
              <c:numCache>
                <c:formatCode>General</c:formatCode>
                <c:ptCount val="11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FC-49D4-BC92-B9390957FE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11305880"/>
        <c:axId val="811303256"/>
      </c:barChart>
      <c:catAx>
        <c:axId val="811305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1303256"/>
        <c:crosses val="autoZero"/>
        <c:auto val="1"/>
        <c:lblAlgn val="ctr"/>
        <c:lblOffset val="100"/>
        <c:noMultiLvlLbl val="0"/>
      </c:catAx>
      <c:valAx>
        <c:axId val="8113032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1130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Pedidos (con dashboard) - copia.xlsm]TabDinam!TablaDinámica6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barniz utilizado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cap="all" spc="15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shade val="76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6">
              <a:tint val="77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TabDinam!$W$3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76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FAB-4B20-9DC9-97EBEA0B2E56}"/>
              </c:ext>
            </c:extLst>
          </c:dPt>
          <c:dPt>
            <c:idx val="1"/>
            <c:bubble3D val="0"/>
            <c:spPr>
              <a:solidFill>
                <a:schemeClr val="accent6">
                  <a:tint val="77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FAB-4B20-9DC9-97EBEA0B2E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TabDinam!$V$4:$V$7</c:f>
              <c:multiLvlStrCache>
                <c:ptCount val="2"/>
                <c:lvl>
                  <c:pt idx="0">
                    <c:v>BRILLO</c:v>
                  </c:pt>
                  <c:pt idx="1">
                    <c:v>MATE</c:v>
                  </c:pt>
                </c:lvl>
                <c:lvl>
                  <c:pt idx="0">
                    <c:v>BARNIZ</c:v>
                  </c:pt>
                </c:lvl>
              </c:multiLvlStrCache>
            </c:multiLvlStrRef>
          </c:cat>
          <c:val>
            <c:numRef>
              <c:f>TabDinam!$W$4:$W$7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80-4E64-9CD5-76ADBD5FCEA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Pedidos (con dashboard) - copia.xlsm]TabDinam!TablaDinámica7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rPr>
              <a:t>barniz acrílico utilizado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all" spc="15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shade val="76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6">
              <a:tint val="77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TabDinam!$AA$3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76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503-485B-90F2-B2807D71E372}"/>
              </c:ext>
            </c:extLst>
          </c:dPt>
          <c:dPt>
            <c:idx val="1"/>
            <c:bubble3D val="0"/>
            <c:spPr>
              <a:solidFill>
                <a:schemeClr val="accent6">
                  <a:tint val="77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503-485B-90F2-B2807D71E3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TabDinam!$Z$4:$Z$7</c:f>
              <c:multiLvlStrCache>
                <c:ptCount val="2"/>
                <c:lvl>
                  <c:pt idx="0">
                    <c:v>BRILLO</c:v>
                  </c:pt>
                  <c:pt idx="1">
                    <c:v>MATE</c:v>
                  </c:pt>
                </c:lvl>
                <c:lvl>
                  <c:pt idx="0">
                    <c:v>BARNIZ ACRÍLICO</c:v>
                  </c:pt>
                </c:lvl>
              </c:multiLvlStrCache>
            </c:multiLvlStrRef>
          </c:cat>
          <c:val>
            <c:numRef>
              <c:f>TabDinam!$AA$4:$AA$7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1B-4A5C-8A55-FBEA768E4C6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0</xdr:row>
          <xdr:rowOff>171450</xdr:rowOff>
        </xdr:from>
        <xdr:to>
          <xdr:col>12</xdr:col>
          <xdr:colOff>95250</xdr:colOff>
          <xdr:row>3</xdr:row>
          <xdr:rowOff>28575</xdr:rowOff>
        </xdr:to>
        <xdr:sp macro="" textlink="">
          <xdr:nvSpPr>
            <xdr:cNvPr id="8207" name="CommandButton1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4</xdr:row>
          <xdr:rowOff>28575</xdr:rowOff>
        </xdr:from>
        <xdr:to>
          <xdr:col>12</xdr:col>
          <xdr:colOff>95250</xdr:colOff>
          <xdr:row>6</xdr:row>
          <xdr:rowOff>123825</xdr:rowOff>
        </xdr:to>
        <xdr:sp macro="" textlink="">
          <xdr:nvSpPr>
            <xdr:cNvPr id="8210" name="CommandButton2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9</xdr:row>
          <xdr:rowOff>142875</xdr:rowOff>
        </xdr:from>
        <xdr:to>
          <xdr:col>12</xdr:col>
          <xdr:colOff>123825</xdr:colOff>
          <xdr:row>12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0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1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76200</xdr:rowOff>
        </xdr:from>
        <xdr:to>
          <xdr:col>5</xdr:col>
          <xdr:colOff>666750</xdr:colOff>
          <xdr:row>2</xdr:row>
          <xdr:rowOff>171450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1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Retirar Guión Bajo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13</xdr:row>
      <xdr:rowOff>52387</xdr:rowOff>
    </xdr:from>
    <xdr:to>
      <xdr:col>4</xdr:col>
      <xdr:colOff>219075</xdr:colOff>
      <xdr:row>27</xdr:row>
      <xdr:rowOff>128587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228600</xdr:colOff>
      <xdr:row>13</xdr:row>
      <xdr:rowOff>52387</xdr:rowOff>
    </xdr:from>
    <xdr:to>
      <xdr:col>8</xdr:col>
      <xdr:colOff>342900</xdr:colOff>
      <xdr:row>27</xdr:row>
      <xdr:rowOff>128587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352425</xdr:colOff>
      <xdr:row>13</xdr:row>
      <xdr:rowOff>71437</xdr:rowOff>
    </xdr:from>
    <xdr:to>
      <xdr:col>12</xdr:col>
      <xdr:colOff>466725</xdr:colOff>
      <xdr:row>27</xdr:row>
      <xdr:rowOff>147637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466725</xdr:colOff>
      <xdr:row>13</xdr:row>
      <xdr:rowOff>61912</xdr:rowOff>
    </xdr:from>
    <xdr:to>
      <xdr:col>16</xdr:col>
      <xdr:colOff>657225</xdr:colOff>
      <xdr:row>27</xdr:row>
      <xdr:rowOff>138112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666750</xdr:colOff>
      <xdr:row>15</xdr:row>
      <xdr:rowOff>138112</xdr:rowOff>
    </xdr:from>
    <xdr:to>
      <xdr:col>21</xdr:col>
      <xdr:colOff>400050</xdr:colOff>
      <xdr:row>30</xdr:row>
      <xdr:rowOff>23812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419100</xdr:colOff>
      <xdr:row>15</xdr:row>
      <xdr:rowOff>138112</xdr:rowOff>
    </xdr:from>
    <xdr:to>
      <xdr:col>25</xdr:col>
      <xdr:colOff>533400</xdr:colOff>
      <xdr:row>30</xdr:row>
      <xdr:rowOff>23812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561975</xdr:colOff>
      <xdr:row>15</xdr:row>
      <xdr:rowOff>147637</xdr:rowOff>
    </xdr:from>
    <xdr:to>
      <xdr:col>31</xdr:col>
      <xdr:colOff>161925</xdr:colOff>
      <xdr:row>30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190499</xdr:rowOff>
    </xdr:from>
    <xdr:to>
      <xdr:col>6</xdr:col>
      <xdr:colOff>66675</xdr:colOff>
      <xdr:row>16</xdr:row>
      <xdr:rowOff>9524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19050</xdr:rowOff>
    </xdr:from>
    <xdr:to>
      <xdr:col>5</xdr:col>
      <xdr:colOff>180975</xdr:colOff>
      <xdr:row>27</xdr:row>
      <xdr:rowOff>66675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171450</xdr:colOff>
      <xdr:row>18</xdr:row>
      <xdr:rowOff>9525</xdr:rowOff>
    </xdr:from>
    <xdr:to>
      <xdr:col>16</xdr:col>
      <xdr:colOff>361950</xdr:colOff>
      <xdr:row>39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476249</xdr:colOff>
      <xdr:row>18</xdr:row>
      <xdr:rowOff>9525</xdr:rowOff>
    </xdr:from>
    <xdr:to>
      <xdr:col>10</xdr:col>
      <xdr:colOff>657224</xdr:colOff>
      <xdr:row>27</xdr:row>
      <xdr:rowOff>28575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342900</xdr:colOff>
      <xdr:row>2</xdr:row>
      <xdr:rowOff>0</xdr:rowOff>
    </xdr:from>
    <xdr:to>
      <xdr:col>16</xdr:col>
      <xdr:colOff>342900</xdr:colOff>
      <xdr:row>16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180975</xdr:colOff>
      <xdr:row>29</xdr:row>
      <xdr:rowOff>123825</xdr:rowOff>
    </xdr:from>
    <xdr:to>
      <xdr:col>5</xdr:col>
      <xdr:colOff>57150</xdr:colOff>
      <xdr:row>41</xdr:row>
      <xdr:rowOff>133349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333376</xdr:colOff>
      <xdr:row>29</xdr:row>
      <xdr:rowOff>104774</xdr:rowOff>
    </xdr:from>
    <xdr:to>
      <xdr:col>10</xdr:col>
      <xdr:colOff>638175</xdr:colOff>
      <xdr:row>41</xdr:row>
      <xdr:rowOff>171450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85724</xdr:colOff>
      <xdr:row>10</xdr:row>
      <xdr:rowOff>85726</xdr:rowOff>
    </xdr:from>
    <xdr:to>
      <xdr:col>10</xdr:col>
      <xdr:colOff>380999</xdr:colOff>
      <xdr:row>16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Cliente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57724" y="1990726"/>
              <a:ext cx="3343275" cy="1190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85725</xdr:colOff>
      <xdr:row>3</xdr:row>
      <xdr:rowOff>38100</xdr:rowOff>
    </xdr:from>
    <xdr:to>
      <xdr:col>10</xdr:col>
      <xdr:colOff>371475</xdr:colOff>
      <xdr:row>10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5" name="Fecha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57725" y="6096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5</xdr:col>
      <xdr:colOff>352425</xdr:colOff>
      <xdr:row>0</xdr:row>
      <xdr:rowOff>19050</xdr:rowOff>
    </xdr:from>
    <xdr:to>
      <xdr:col>11</xdr:col>
      <xdr:colOff>704850</xdr:colOff>
      <xdr:row>2</xdr:row>
      <xdr:rowOff>28575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4162425" y="19050"/>
          <a:ext cx="492442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800" b="1" i="0" u="none" strike="noStrike" kern="1200" cap="all" spc="15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rPr>
            <a:t>Dashboard de pedidos e insumos</a:t>
          </a:r>
        </a:p>
      </xdr:txBody>
    </xdr:sp>
    <xdr:clientData/>
  </xdr:twoCellAnchor>
  <xdr:twoCellAnchor>
    <xdr:from>
      <xdr:col>7</xdr:col>
      <xdr:colOff>76200</xdr:colOff>
      <xdr:row>1</xdr:row>
      <xdr:rowOff>114300</xdr:rowOff>
    </xdr:from>
    <xdr:to>
      <xdr:col>13</xdr:col>
      <xdr:colOff>428625</xdr:colOff>
      <xdr:row>3</xdr:row>
      <xdr:rowOff>123825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5410200" y="304800"/>
          <a:ext cx="492442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400" b="0" i="0" u="none" strike="noStrike" kern="1200" cap="all" spc="15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rPr>
            <a:t>qm impresiones</a:t>
          </a:r>
        </a:p>
      </xdr:txBody>
    </xdr:sp>
    <xdr:clientData/>
  </xdr:twoCellAnchor>
  <xdr:twoCellAnchor>
    <xdr:from>
      <xdr:col>5</xdr:col>
      <xdr:colOff>152400</xdr:colOff>
      <xdr:row>1</xdr:row>
      <xdr:rowOff>152400</xdr:rowOff>
    </xdr:from>
    <xdr:to>
      <xdr:col>11</xdr:col>
      <xdr:colOff>323850</xdr:colOff>
      <xdr:row>1</xdr:row>
      <xdr:rowOff>171450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CxnSpPr/>
      </xdr:nvCxnSpPr>
      <xdr:spPr>
        <a:xfrm flipV="1">
          <a:off x="3962400" y="342900"/>
          <a:ext cx="4743450" cy="190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11111114" createdVersion="5" refreshedVersion="6" minRefreshableVersion="3" recordCount="0" supportSubquery="1" supportAdvancedDrill="1" xr:uid="{835E8CBE-AFD1-4484-969D-8A815D35995F}">
  <cacheSource type="external" connectionId="1"/>
  <cacheFields count="2">
    <cacheField name="[Pedidos].[Cliente].[Cliente]" caption="Cliente" numFmtId="0" hierarchy="4" level="1">
      <sharedItems count="11">
        <s v="ALARCON"/>
        <s v="ELMER"/>
        <s v="ESTHER"/>
        <s v="FUKUDA"/>
        <s v="RAMIREZ"/>
        <s v="VICTOR"/>
        <s v="VIDAL"/>
        <s v="VISION"/>
        <s v="WILFREDO"/>
        <s v="WILLIAM"/>
        <s v="WILSON"/>
      </sharedItems>
    </cacheField>
    <cacheField name="[Measures].[Recuento de IdPedido]" caption="Recuento de IdPedido" numFmtId="0" hierarchy="19" level="32767"/>
  </cacheFields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0" memberValueDatatype="130" unbalanced="0"/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0" memberValueDatatype="130" unbalanced="0"/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2" memberValueDatatype="130" unbalanced="0">
      <fieldsUsage count="2">
        <fieldUsage x="-1"/>
        <fieldUsage x="0"/>
      </fieldsUsage>
    </cacheHierarchy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2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3">
    <dimension name="DetallePedido" uniqueName="[DetallePedido]" caption="DetallePedido"/>
    <dimension measure="1" name="Measures" uniqueName="[Measures]" caption="Measures"/>
    <dimension name="Pedidos" uniqueName="[Pedidos]" caption="Pedidos"/>
  </dimensions>
  <measureGroups count="2">
    <measureGroup name="DetallePedido" caption="DetallePedido"/>
    <measureGroup name="Pedidos" caption="Pedid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13425923" createdVersion="5" refreshedVersion="6" minRefreshableVersion="3" recordCount="0" supportSubquery="1" supportAdvancedDrill="1" xr:uid="{2A9A0A1D-22F8-4B2A-8CA2-4B9EFC0140AA}">
  <cacheSource type="external" connectionId="1"/>
  <cacheFields count="3">
    <cacheField name="[DetallePedido].[Especificacion].[Especificacion]" caption="Especificacion" numFmtId="0" hierarchy="2" level="1">
      <sharedItems count="4">
        <s v="AMARILLO"/>
        <s v="CIAN"/>
        <s v="MAGENTA"/>
        <s v="NEGRO"/>
      </sharedItems>
    </cacheField>
    <cacheField name="[Measures].[Recuento de Especificacion]" caption="Recuento de Especificacion" numFmtId="0" hierarchy="18" level="32767"/>
    <cacheField name="[Pedidos].[Cliente].[Cliente]" caption="Cliente" numFmtId="0" hierarchy="4" level="1">
      <sharedItems containsSemiMixedTypes="0" containsNonDate="0" containsString="0"/>
    </cacheField>
  </cacheFields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0" memberValueDatatype="130" unbalanced="0"/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2" memberValueDatatype="130" unbalanced="0">
      <fieldsUsage count="2">
        <fieldUsage x="-1"/>
        <fieldUsage x="0"/>
      </fieldsUsage>
    </cacheHierarchy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2" memberValueDatatype="130" unbalanced="0">
      <fieldsUsage count="2">
        <fieldUsage x="-1"/>
        <fieldUsage x="2"/>
      </fieldsUsage>
    </cacheHierarchy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2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3">
    <dimension name="DetallePedido" uniqueName="[DetallePedido]" caption="DetallePedido"/>
    <dimension measure="1" name="Measures" uniqueName="[Measures]" caption="Measures"/>
    <dimension name="Pedidos" uniqueName="[Pedidos]" caption="Pedidos"/>
  </dimensions>
  <measureGroups count="2">
    <measureGroup name="DetallePedido" caption="DetallePedido"/>
    <measureGroup name="Pedidos" caption="Pedid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19675927" createdVersion="5" refreshedVersion="6" minRefreshableVersion="3" recordCount="0" supportSubquery="1" supportAdvancedDrill="1" xr:uid="{96D7B455-8C9C-4CF5-AF14-AD4389CFCD7A}">
  <cacheSource type="external" connectionId="1"/>
  <cacheFields count="3">
    <cacheField name="[DetallePedido].[Especificacion].[Especificacion]" caption="Especificacion" numFmtId="0" hierarchy="2" level="1">
      <sharedItems count="8">
        <s v="AZUL"/>
        <s v="CELESTE"/>
        <s v="MARRON"/>
        <s v="MORADO"/>
        <s v="NARANJA"/>
        <s v="PLOMO"/>
        <s v="VERDE"/>
        <s v="VERDE LIMON"/>
      </sharedItems>
    </cacheField>
    <cacheField name="[Measures].[Recuento de Especificacion]" caption="Recuento de Especificacion" numFmtId="0" hierarchy="18" level="32767"/>
    <cacheField name="[Pedidos].[Cliente].[Cliente]" caption="Cliente" numFmtId="0" hierarchy="4" level="1">
      <sharedItems containsSemiMixedTypes="0" containsNonDate="0" containsString="0"/>
    </cacheField>
  </cacheFields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0" memberValueDatatype="130" unbalanced="0"/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2" memberValueDatatype="130" unbalanced="0">
      <fieldsUsage count="2">
        <fieldUsage x="-1"/>
        <fieldUsage x="0"/>
      </fieldsUsage>
    </cacheHierarchy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2" memberValueDatatype="130" unbalanced="0">
      <fieldsUsage count="2">
        <fieldUsage x="-1"/>
        <fieldUsage x="2"/>
      </fieldsUsage>
    </cacheHierarchy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2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3">
    <dimension name="DetallePedido" uniqueName="[DetallePedido]" caption="DetallePedido"/>
    <dimension measure="1" name="Measures" uniqueName="[Measures]" caption="Measures"/>
    <dimension name="Pedidos" uniqueName="[Pedidos]" caption="Pedidos"/>
  </dimensions>
  <measureGroups count="2">
    <measureGroup name="DetallePedido" caption="DetallePedido"/>
    <measureGroup name="Pedidos" caption="Pedid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21990744" createdVersion="5" refreshedVersion="6" minRefreshableVersion="3" recordCount="0" supportSubquery="1" supportAdvancedDrill="1" xr:uid="{050F3A6A-8063-4CC4-95D9-C8AD6F9F787A}">
  <cacheSource type="external" connectionId="1"/>
  <cacheFields count="3">
    <cacheField name="[DetallePedido].[Especificacion].[Especificacion]" caption="Especificacion" numFmtId="0" hierarchy="2" level="1">
      <sharedItems count="4">
        <s v="CELESTE NEON"/>
        <s v="DORADO"/>
        <s v="PLATEADO"/>
        <s v="VERDE NEON"/>
      </sharedItems>
    </cacheField>
    <cacheField name="[Measures].[Recuento de Especificacion]" caption="Recuento de Especificacion" numFmtId="0" hierarchy="18" level="32767"/>
    <cacheField name="[Pedidos].[Cliente].[Cliente]" caption="Cliente" numFmtId="0" hierarchy="4" level="1">
      <sharedItems containsSemiMixedTypes="0" containsNonDate="0" containsString="0"/>
    </cacheField>
  </cacheFields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0" memberValueDatatype="130" unbalanced="0"/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2" memberValueDatatype="130" unbalanced="0">
      <fieldsUsage count="2">
        <fieldUsage x="-1"/>
        <fieldUsage x="0"/>
      </fieldsUsage>
    </cacheHierarchy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2" memberValueDatatype="130" unbalanced="0">
      <fieldsUsage count="2">
        <fieldUsage x="-1"/>
        <fieldUsage x="2"/>
      </fieldsUsage>
    </cacheHierarchy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2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3">
    <dimension name="DetallePedido" uniqueName="[DetallePedido]" caption="DetallePedido"/>
    <dimension measure="1" name="Measures" uniqueName="[Measures]" caption="Measures"/>
    <dimension name="Pedidos" uniqueName="[Pedidos]" caption="Pedidos"/>
  </dimensions>
  <measureGroups count="2">
    <measureGroup name="DetallePedido" caption="DetallePedido"/>
    <measureGroup name="Pedidos" caption="Pedid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24305553" createdVersion="5" refreshedVersion="6" minRefreshableVersion="3" recordCount="0" supportSubquery="1" supportAdvancedDrill="1" xr:uid="{9BCFC402-C119-47A4-AC99-606721EF1634}">
  <cacheSource type="external" connectionId="1"/>
  <cacheFields count="4">
    <cacheField name="[DetallePedido].[Tratamiento].[Tratamiento]" caption="Tratamiento" numFmtId="0" hierarchy="1" level="1">
      <sharedItems count="1">
        <s v="BARNIZ"/>
      </sharedItems>
    </cacheField>
    <cacheField name="[DetallePedido].[Especificacion].[Especificacion]" caption="Especificacion" numFmtId="0" hierarchy="2" level="1">
      <sharedItems count="2">
        <s v="BRILLO"/>
        <s v="MATE"/>
      </sharedItems>
    </cacheField>
    <cacheField name="[Measures].[Recuento de Especificacion]" caption="Recuento de Especificacion" numFmtId="0" hierarchy="18" level="32767"/>
    <cacheField name="[Pedidos].[Cliente].[Cliente]" caption="Cliente" numFmtId="0" hierarchy="4" level="1">
      <sharedItems containsSemiMixedTypes="0" containsNonDate="0" containsString="0"/>
    </cacheField>
  </cacheFields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2" memberValueDatatype="130" unbalanced="0">
      <fieldsUsage count="2">
        <fieldUsage x="-1"/>
        <fieldUsage x="0"/>
      </fieldsUsage>
    </cacheHierarchy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2" memberValueDatatype="130" unbalanced="0">
      <fieldsUsage count="2">
        <fieldUsage x="-1"/>
        <fieldUsage x="1"/>
      </fieldsUsage>
    </cacheHierarchy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2" memberValueDatatype="130" unbalanced="0">
      <fieldsUsage count="2">
        <fieldUsage x="-1"/>
        <fieldUsage x="3"/>
      </fieldsUsage>
    </cacheHierarchy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2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3">
    <dimension name="DetallePedido" uniqueName="[DetallePedido]" caption="DetallePedido"/>
    <dimension measure="1" name="Measures" uniqueName="[Measures]" caption="Measures"/>
    <dimension name="Pedidos" uniqueName="[Pedidos]" caption="Pedidos"/>
  </dimensions>
  <measureGroups count="2">
    <measureGroup name="DetallePedido" caption="DetallePedido"/>
    <measureGroup name="Pedidos" caption="Pedid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2662037" createdVersion="5" refreshedVersion="6" minRefreshableVersion="3" recordCount="0" supportSubquery="1" supportAdvancedDrill="1" xr:uid="{C0C2980E-0471-45C0-B8F1-237997BEC011}">
  <cacheSource type="external" connectionId="1"/>
  <cacheFields count="4">
    <cacheField name="[DetallePedido].[Tratamiento].[Tratamiento]" caption="Tratamiento" numFmtId="0" hierarchy="1" level="1">
      <sharedItems count="1">
        <s v="BARNIZ ACRÍLICO"/>
      </sharedItems>
    </cacheField>
    <cacheField name="[DetallePedido].[Especificacion].[Especificacion]" caption="Especificacion" numFmtId="0" hierarchy="2" level="1">
      <sharedItems count="2">
        <s v="BRILLO"/>
        <s v="MATE"/>
      </sharedItems>
    </cacheField>
    <cacheField name="[Measures].[Recuento de IdPedido 2]" caption="Recuento de IdPedido 2" numFmtId="0" hierarchy="21" level="32767"/>
    <cacheField name="[Pedidos].[Cliente].[Cliente]" caption="Cliente" numFmtId="0" hierarchy="4" level="1">
      <sharedItems containsSemiMixedTypes="0" containsNonDate="0" containsString="0"/>
    </cacheField>
  </cacheFields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2" memberValueDatatype="130" unbalanced="0">
      <fieldsUsage count="2">
        <fieldUsage x="-1"/>
        <fieldUsage x="0"/>
      </fieldsUsage>
    </cacheHierarchy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2" memberValueDatatype="130" unbalanced="0">
      <fieldsUsage count="2">
        <fieldUsage x="-1"/>
        <fieldUsage x="1"/>
      </fieldsUsage>
    </cacheHierarchy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2" memberValueDatatype="130" unbalanced="0">
      <fieldsUsage count="2">
        <fieldUsage x="-1"/>
        <fieldUsage x="3"/>
      </fieldsUsage>
    </cacheHierarchy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2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3">
    <dimension name="DetallePedido" uniqueName="[DetallePedido]" caption="DetallePedido"/>
    <dimension measure="1" name="Measures" uniqueName="[Measures]" caption="Measures"/>
    <dimension name="Pedidos" uniqueName="[Pedidos]" caption="Pedidos"/>
  </dimensions>
  <measureGroups count="2">
    <measureGroup name="DetallePedido" caption="DetallePedido"/>
    <measureGroup name="Pedidos" caption="Pedid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28703702" createdVersion="5" refreshedVersion="6" minRefreshableVersion="3" recordCount="0" supportSubquery="1" supportAdvancedDrill="1" xr:uid="{F22824A4-BE23-4DD0-9537-AF16CCEF897C}">
  <cacheSource type="external" connectionId="1"/>
  <cacheFields count="3">
    <cacheField name="[DetallePedido].[Tratamiento].[Tratamiento]" caption="Tratamiento" numFmtId="0" hierarchy="1" level="1">
      <sharedItems count="7">
        <s v="BARNIZ"/>
        <s v="BARNIZ ACRÍLICO"/>
        <s v="FIGURA COLOR ESPECIAL"/>
        <s v="FIGURA COLOR FL. / MET."/>
        <s v="FIGURA COLOR SELECCIÓN"/>
        <s v="FONDO ESPECIAL"/>
        <s v="FONDO SELECCIÓN"/>
      </sharedItems>
    </cacheField>
    <cacheField name="[Measures].[Recuento de Tratamiento]" caption="Recuento de Tratamiento" numFmtId="0" hierarchy="16" level="32767"/>
    <cacheField name="[Pedidos].[Cliente].[Cliente]" caption="Cliente" numFmtId="0" hierarchy="4" level="1">
      <sharedItems containsSemiMixedTypes="0" containsNonDate="0" containsString="0"/>
    </cacheField>
  </cacheFields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2" memberValueDatatype="130" unbalanced="0">
      <fieldsUsage count="2">
        <fieldUsage x="-1"/>
        <fieldUsage x="0"/>
      </fieldsUsage>
    </cacheHierarchy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0" memberValueDatatype="130" unbalanced="0"/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2" memberValueDatatype="130" unbalanced="0">
      <fieldsUsage count="2">
        <fieldUsage x="-1"/>
        <fieldUsage x="2"/>
      </fieldsUsage>
    </cacheHierarchy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2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3">
    <dimension name="DetallePedido" uniqueName="[DetallePedido]" caption="DetallePedido"/>
    <dimension measure="1" name="Measures" uniqueName="[Measures]" caption="Measures"/>
    <dimension name="Pedidos" uniqueName="[Pedidos]" caption="Pedidos"/>
  </dimensions>
  <measureGroups count="2">
    <measureGroup name="DetallePedido" caption="DetallePedido"/>
    <measureGroup name="Pedidos" caption="Pedido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07291665" createdVersion="3" refreshedVersion="6" minRefreshableVersion="3" recordCount="0" supportSubquery="1" supportAdvancedDrill="1" xr:uid="{EA6A05C1-18B8-4AB4-AA76-DBA23DD2769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0" memberValueDatatype="130" unbalanced="0"/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0" memberValueDatatype="130" unbalanced="0"/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2" memberValueDatatype="130" unbalanced="0"/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0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411584092"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elo" refreshedDate="44179.972408680558" createdVersion="3" refreshedVersion="6" minRefreshableVersion="3" recordCount="0" supportSubquery="1" supportAdvancedDrill="1" xr:uid="{8C9003AB-15CE-4270-A784-8107B1C259CD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DetallePedido].[IdPedido]" caption="IdPedido" attribute="1" defaultMemberUniqueName="[DetallePedido].[IdPedido].[All]" allUniqueName="[DetallePedido].[IdPedido].[All]" dimensionUniqueName="[DetallePedido]" displayFolder="" count="0" memberValueDatatype="20" unbalanced="0"/>
    <cacheHierarchy uniqueName="[DetallePedido].[Tratamiento]" caption="Tratamiento" attribute="1" defaultMemberUniqueName="[DetallePedido].[Tratamiento].[All]" allUniqueName="[DetallePedido].[Tratamiento].[All]" dimensionUniqueName="[DetallePedido]" displayFolder="" count="0" memberValueDatatype="130" unbalanced="0"/>
    <cacheHierarchy uniqueName="[DetallePedido].[Especificacion]" caption="Especificacion" attribute="1" defaultMemberUniqueName="[DetallePedido].[Especificacion].[All]" allUniqueName="[DetallePedido].[Especificacion].[All]" dimensionUniqueName="[DetallePedido]" displayFolder="" count="0" memberValueDatatype="130" unbalanced="0"/>
    <cacheHierarchy uniqueName="[Pedidos].[IdPedido]" caption="IdPedido" attribute="1" defaultMemberUniqueName="[Pedidos].[IdPedido].[All]" allUniqueName="[Pedidos].[IdPedido].[All]" dimensionUniqueName="[Pedidos]" displayFolder="" count="0" memberValueDatatype="20" unbalanced="0"/>
    <cacheHierarchy uniqueName="[Pedidos].[Cliente]" caption="Cliente" attribute="1" defaultMemberUniqueName="[Pedidos].[Cliente].[All]" allUniqueName="[Pedidos].[Cliente].[All]" dimensionUniqueName="[Pedidos]" displayFolder="" count="0" memberValueDatatype="130" unbalanced="0"/>
    <cacheHierarchy uniqueName="[Pedidos].[FECHA 1]" caption="FECHA 1" attribute="1" time="1" defaultMemberUniqueName="[Pedidos].[FECHA 1].[All]" allUniqueName="[Pedidos].[FECHA 1].[All]" dimensionUniqueName="[Pedidos]" displayFolder="" count="0" memberValueDatatype="7" unbalanced="0"/>
    <cacheHierarchy uniqueName="[Pedidos].[PrecioMillar]" caption="PrecioMillar" attribute="1" defaultMemberUniqueName="[Pedidos].[PrecioMillar].[All]" allUniqueName="[Pedidos].[PrecioMillar].[All]" dimensionUniqueName="[Pedidos]" displayFolder="" count="0" memberValueDatatype="20" unbalanced="0"/>
    <cacheHierarchy uniqueName="[Pedidos].[CanPedida]" caption="CanPedida" attribute="1" defaultMemberUniqueName="[Pedidos].[CanPedida].[All]" allUniqueName="[Pedidos].[CanPedida].[All]" dimensionUniqueName="[Pedidos]" displayFolder="" count="0" memberValueDatatype="20" unbalanced="0"/>
    <cacheHierarchy uniqueName="[Pedidos].[CanMillares]" caption="CanMillares" attribute="1" defaultMemberUniqueName="[Pedidos].[CanMillares].[All]" allUniqueName="[Pedidos].[CanMillares].[All]" dimensionUniqueName="[Pedidos]" displayFolder="" count="0" memberValueDatatype="20" unbalanced="0"/>
    <cacheHierarchy uniqueName="[Pedidos].[TotFactura]" caption="TotFactura" attribute="1" defaultMemberUniqueName="[Pedidos].[TotFactura].[All]" allUniqueName="[Pedidos].[TotFactura].[All]" dimensionUniqueName="[Pedidos]" displayFolder="" count="0" memberValueDatatype="20" unbalanced="0"/>
    <cacheHierarchy uniqueName="[Pedidos].[T_R]" caption="T_R" attribute="1" defaultMemberUniqueName="[Pedidos].[T_R].[All]" allUniqueName="[Pedidos].[T_R].[All]" dimensionUniqueName="[Pedidos]" displayFolder="" count="0" memberValueDatatype="130" unbalanced="0"/>
    <cacheHierarchy uniqueName="[Pedidos].[Concepto]" caption="Concepto" attribute="1" defaultMemberUniqueName="[Pedidos].[Concepto].[All]" allUniqueName="[Pedidos].[Concepto].[All]" dimensionUniqueName="[Pedidos]" displayFolder="" count="0" memberValueDatatype="130" unbalanced="0"/>
    <cacheHierarchy uniqueName="[Pedidos].[Fecha]" caption="Fecha" attribute="1" time="1" defaultMemberUniqueName="[Pedidos].[Fecha].[All]" allUniqueName="[Pedidos].[Fecha].[All]" dimensionUniqueName="[Pedidos]" displayFolder="" count="2" memberValueDatatype="7" unbalanced="0"/>
    <cacheHierarchy uniqueName="[Measures].[__XL_Count Pedidos]" caption="__XL_Count Pedidos" measure="1" displayFolder="" measureGroup="Pedidos" count="0" hidden="1"/>
    <cacheHierarchy uniqueName="[Measures].[__XL_Count DetallePedido]" caption="__XL_Count DetallePedido" measure="1" displayFolder="" measureGroup="DetallePedido" count="0" hidden="1"/>
    <cacheHierarchy uniqueName="[Measures].[__No hay medidas definidas]" caption="__No hay medidas definidas" measure="1" displayFolder="" count="0" hidden="1"/>
    <cacheHierarchy uniqueName="[Measures].[Recuento de Tratamiento]" caption="Recue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Tratamiento]" caption="Recuento distinto de Tratamient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Especificacion]" caption="Recuento de Especificacion" measure="1" displayFolder="" measureGroup="DetallePedid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IdPedido]" caption="Recuento de IdPedido" measure="1" displayFolder="" measureGroup="Pedid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IdPedido]" caption="Suma de IdPedido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Recuento de IdPedido 2]" caption="Recuento de IdPedido 2" measure="1" displayFolder="" measureGroup="DetallePedid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95947999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34DD89-E7E1-4D89-9C05-F42B274415BD}" name="TablaDinámica2" cacheId="1" applyNumberFormats="0" applyBorderFormats="0" applyFontFormats="0" applyPatternFormats="0" applyAlignmentFormats="0" applyWidthHeightFormats="1" dataCaption="Valores" tag="280716ef-72d8-4631-b833-1b03b3737918" updatedVersion="6" minRefreshableVersion="5" useAutoFormatting="1" itemPrintTitles="1" createdVersion="5" indent="0" outline="1" outlineData="1" multipleFieldFilters="0" chartFormat="6">
  <location ref="F3:G8" firstHeaderRow="1" firstDataRow="1" firstDataCol="1"/>
  <pivotFields count="3">
    <pivotField axis="axisRow"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cuento de Especificacion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tallePedido]"/>
        <x15:activeTabTopLevelEntity name="[Pedi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79BB5-55D1-4E8B-980C-BA722954DD9A}" name="TablaDinámica7" cacheId="5" applyNumberFormats="0" applyBorderFormats="0" applyFontFormats="0" applyPatternFormats="0" applyAlignmentFormats="0" applyWidthHeightFormats="1" dataCaption="Valores" tag="7b87dad2-2a9d-46cb-9b7d-94906d72316b" updatedVersion="6" minRefreshableVersion="5" useAutoFormatting="1" itemPrintTitles="1" createdVersion="5" indent="0" outline="1" outlineData="1" multipleFieldFilters="0" chartFormat="3">
  <location ref="Z3:AA7" firstHeaderRow="1" firstDataRow="1" firstDataCol="1"/>
  <pivotFields count="4">
    <pivotField axis="axisRow"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0"/>
    <field x="1"/>
  </rowFields>
  <rowItems count="4">
    <i>
      <x/>
    </i>
    <i r="1">
      <x/>
    </i>
    <i r="1">
      <x v="1"/>
    </i>
    <i t="grand">
      <x/>
    </i>
  </rowItems>
  <colItems count="1">
    <i/>
  </colItems>
  <dataFields count="1">
    <dataField name="Recuento de IdPedido" fld="2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Recuento de IdPedido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tallePedido]"/>
        <x15:activeTabTopLevelEntity name="[Pedi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56250D-75E5-4698-A0A4-DEA4408C8985}" name="TablaDinámica6" cacheId="4" applyNumberFormats="0" applyBorderFormats="0" applyFontFormats="0" applyPatternFormats="0" applyAlignmentFormats="0" applyWidthHeightFormats="1" dataCaption="Valores" tag="ddad079b-1440-4a0f-a1b8-381abf351970" updatedVersion="6" minRefreshableVersion="5" useAutoFormatting="1" itemPrintTitles="1" createdVersion="5" indent="0" outline="1" outlineData="1" multipleFieldFilters="0" chartFormat="3">
  <location ref="V3:W7" firstHeaderRow="1" firstDataRow="1" firstDataCol="1"/>
  <pivotFields count="4">
    <pivotField axis="axisRow"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0"/>
    <field x="1"/>
  </rowFields>
  <rowItems count="4">
    <i>
      <x/>
    </i>
    <i r="1">
      <x/>
    </i>
    <i r="1">
      <x v="1"/>
    </i>
    <i t="grand">
      <x/>
    </i>
  </rowItems>
  <colItems count="1">
    <i/>
  </colItems>
  <dataFields count="1">
    <dataField name="Recuento de Especificacion"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tallePedido]"/>
        <x15:activeTabTopLevelEntity name="[Pedi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BF389-9633-4059-B5A2-076E72ACF13A}" name="TablaDinámica1" cacheId="6" applyNumberFormats="0" applyBorderFormats="0" applyFontFormats="0" applyPatternFormats="0" applyAlignmentFormats="0" applyWidthHeightFormats="1" dataCaption="Valores" tag="0b76731e-65ce-41a0-a52f-23e7be82633c" updatedVersion="6" minRefreshableVersion="5" useAutoFormatting="1" itemPrintTitles="1" createdVersion="5" indent="0" outline="1" outlineData="1" multipleFieldFilters="0" chartFormat="5">
  <location ref="B3:C11" firstHeaderRow="1" firstDataRow="1" firstDataCol="1"/>
  <pivotFields count="3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Recuento de Tratamiento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Recuento de Tratamiento"/>
    <pivotHierarchy dragToData="1" caption="Recuento distinto de Tratamiento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edidos]"/>
        <x15:activeTabTopLevelEntity name="[DetallePedi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5B4CA-8B66-4F51-A3A6-740B49444C1F}" name="TablaDinámica5" cacheId="3" applyNumberFormats="0" applyBorderFormats="0" applyFontFormats="0" applyPatternFormats="0" applyAlignmentFormats="0" applyWidthHeightFormats="1" dataCaption="Valores" tag="d7e2792b-01df-4eab-8588-8856704b80db" updatedVersion="6" minRefreshableVersion="5" useAutoFormatting="1" itemPrintTitles="1" createdVersion="5" indent="0" outline="1" outlineData="1" multipleFieldFilters="0" chartFormat="4">
  <location ref="N3:O8" firstHeaderRow="1" firstDataRow="1" firstDataCol="1"/>
  <pivotFields count="3">
    <pivotField axis="axisRow"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cuento de Especificacion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tallePedi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333D8-38F3-45A9-B2F6-95CCF780931C}" name="TablaDinámica4" cacheId="2" applyNumberFormats="0" applyBorderFormats="0" applyFontFormats="0" applyPatternFormats="0" applyAlignmentFormats="0" applyWidthHeightFormats="1" dataCaption="Valores" tag="c8d54358-63b7-4397-a40e-f047831cffb0" updatedVersion="6" minRefreshableVersion="5" useAutoFormatting="1" itemPrintTitles="1" createdVersion="5" indent="0" outline="1" outlineData="1" multipleFieldFilters="0" chartFormat="4">
  <location ref="J3:K12" firstHeaderRow="1" firstDataRow="1" firstDataCol="1"/>
  <pivotFields count="3">
    <pivotField axis="axisRow" allDrilled="1" subtotalTop="0" showAll="0" dataSourceSort="1" defaultSubtotal="0" defaultAttributeDrillState="1">
      <items count="8">
        <item s="1" x="0"/>
        <item s="1" x="1"/>
        <item s="1" x="2"/>
        <item s="1" x="3"/>
        <item s="1" x="4"/>
        <item s="1" x="5"/>
        <item s="1" x="6"/>
        <item s="1" x="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Recuento de Especificacion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tallePedi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D356F8-2BAC-48AD-9E40-454A5C95B62E}" name="TablaDinámica3" cacheId="0" applyNumberFormats="0" applyBorderFormats="0" applyFontFormats="0" applyPatternFormats="0" applyAlignmentFormats="0" applyWidthHeightFormats="1" dataCaption="Valores" tag="f15207e6-359b-4627-8d74-e82181e7dec4" updatedVersion="6" minRefreshableVersion="5" useAutoFormatting="1" itemPrintTitles="1" createdVersion="5" indent="0" outline="1" outlineData="1" multipleFieldFilters="0" chartFormat="3">
  <location ref="R3:S15" firstHeaderRow="1" firstDataRow="1" firstDataCol="1"/>
  <pivotFields count="2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Recuento de IdPedido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edi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iente" xr10:uid="{9B772B2C-8276-4F19-A355-4E27DDFE1CD9}" sourceName="[Pedidos].[Cliente]">
  <pivotTables>
    <pivotTable tabId="11" name="TablaDinámica3"/>
    <pivotTable tabId="11" name="TablaDinámica1"/>
    <pivotTable tabId="11" name="TablaDinámica2"/>
    <pivotTable tabId="11" name="TablaDinámica4"/>
    <pivotTable tabId="11" name="TablaDinámica5"/>
    <pivotTable tabId="11" name="TablaDinámica6"/>
    <pivotTable tabId="11" name="TablaDinámica7"/>
  </pivotTables>
  <data>
    <olap pivotCacheId="1411584092">
      <levels count="2">
        <level uniqueName="[Pedidos].[Cliente].[(All)]" sourceCaption="(All)" count="0"/>
        <level uniqueName="[Pedidos].[Cliente].[Cliente]" sourceCaption="Cliente" count="11">
          <ranges>
            <range startItem="0">
              <i n="[Pedidos].[Cliente].&amp;[ALARCON]" c="ALARCON"/>
              <i n="[Pedidos].[Cliente].&amp;[ELMER]" c="ELMER"/>
              <i n="[Pedidos].[Cliente].&amp;[ESTHER]" c="ESTHER"/>
              <i n="[Pedidos].[Cliente].&amp;[FUKUDA]" c="FUKUDA"/>
              <i n="[Pedidos].[Cliente].&amp;[RAMIREZ]" c="RAMIREZ"/>
              <i n="[Pedidos].[Cliente].&amp;[VICTOR]" c="VICTOR"/>
              <i n="[Pedidos].[Cliente].&amp;[VIDAL]" c="VIDAL"/>
              <i n="[Pedidos].[Cliente].&amp;[VISION]" c="VISION"/>
              <i n="[Pedidos].[Cliente].&amp;[WILFREDO]" c="WILFREDO"/>
              <i n="[Pedidos].[Cliente].&amp;[WILLIAM]" c="WILLIAM"/>
              <i n="[Pedidos].[Cliente].&amp;[WILSON]" c="WILSON"/>
            </range>
          </ranges>
        </level>
      </levels>
      <selections count="1">
        <selection n="[Pedidos].[Client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CB3DD5B9-E895-4BA7-92BC-475F07A005E9}" cache="SegmentaciónDeDatos_Cliente" caption="Cliente" columnCount="3" level="1" style="SlicerStyleDark6 2 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2DA894-6FF6-4550-A0F8-0A857CDAD6C8}" name="Pedidos" displayName="Pedidos" ref="A1:I22" totalsRowShown="0" headerRowDxfId="4">
  <autoFilter ref="A1:I22" xr:uid="{41E54BED-EF88-45DE-AEBE-C2519F3A7C84}"/>
  <tableColumns count="9">
    <tableColumn id="1" xr3:uid="{C4CD4C25-10AE-4E18-94A4-A0541D1C7C55}" name="IdPedido" dataDxfId="3"/>
    <tableColumn id="2" xr3:uid="{184701BC-66E5-4A65-8426-FFA3DFEC307A}" name="Cliente"/>
    <tableColumn id="3" xr3:uid="{B03D9514-DE45-46F8-962E-7106810BC529}" name="Fecha" dataDxfId="2"/>
    <tableColumn id="4" xr3:uid="{F348C1A4-0643-4B49-9D24-CA7CB1D88B1F}" name="PrecioMillar"/>
    <tableColumn id="5" xr3:uid="{F3D3AC0D-F06F-46D5-BDA1-143F241A0E56}" name="CanPedida"/>
    <tableColumn id="6" xr3:uid="{D5BBE621-AAC0-4299-A394-85C897FFF550}" name="CanMillares"/>
    <tableColumn id="7" xr3:uid="{1559DD29-D7D0-4DC8-9C1D-95221AAC4166}" name="TotFactura"/>
    <tableColumn id="8" xr3:uid="{112C41EF-A406-4B6D-902C-AF6EACB47F62}" name="T_R"/>
    <tableColumn id="9" xr3:uid="{8CF45F5F-051C-47A3-88E4-01B528BFDB31}" name="Concept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948802-84AF-4131-85ED-7DD8EF12878A}" name="DetallePedido" displayName="DetallePedido" ref="A1:C102" totalsRowShown="0" headerRowDxfId="1">
  <autoFilter ref="A1:C102" xr:uid="{71467EB8-7291-4B2B-B964-9C37BC6FF040}"/>
  <tableColumns count="3">
    <tableColumn id="1" xr3:uid="{68FA1E03-3FEC-4897-A11E-FD9EEE96C8E0}" name="IdPedido" dataDxfId="0"/>
    <tableColumn id="2" xr3:uid="{8CD52FDB-59E8-4338-AAC8-188D0744834B}" name="Tratamiento"/>
    <tableColumn id="3" xr3:uid="{E84C4EAE-1784-4873-A2EE-6AE85E533501}" name="Especificacion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" xr10:uid="{50B28E98-4315-433A-91FD-E884B8BC6B00}" sourceName="[Pedidos].[Fecha]">
  <pivotTables>
    <pivotTable tabId="11" name="TablaDinámica1"/>
    <pivotTable tabId="11" name="TablaDinámica2"/>
    <pivotTable tabId="11" name="TablaDinámica3"/>
    <pivotTable tabId="11" name="TablaDinámica4"/>
    <pivotTable tabId="11" name="TablaDinámica5"/>
    <pivotTable tabId="11" name="TablaDinámica6"/>
    <pivotTable tabId="11" name="TablaDinámica7"/>
  </pivotTables>
  <state minimalRefreshVersion="6" lastRefreshVersion="6" pivotCacheId="959479993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1069EC0C-8433-4281-9D00-DED2188C81EF}" cache="Timeline_Fecha" caption="Fecha" level="2" selectionLevel="2" scrollPosition="2020-05-29T00:00:00" style="TimeSlicerStyleDark6 2 2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5" Type="http://schemas.openxmlformats.org/officeDocument/2006/relationships/comments" Target="../comments5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A7D5E-06D5-4951-83D3-5E43BAE20291}">
  <sheetPr codeName="Hoja3"/>
  <dimension ref="A1:J23"/>
  <sheetViews>
    <sheetView tabSelected="1" workbookViewId="0">
      <selection activeCell="C4" sqref="C4"/>
    </sheetView>
  </sheetViews>
  <sheetFormatPr baseColWidth="10" defaultRowHeight="15" x14ac:dyDescent="0.25"/>
  <cols>
    <col min="1" max="2" width="11.42578125" style="6"/>
    <col min="3" max="3" width="11" style="6" customWidth="1"/>
    <col min="4" max="4" width="10.28515625" style="6" bestFit="1" customWidth="1"/>
    <col min="5" max="5" width="25.42578125" style="6" bestFit="1" customWidth="1"/>
    <col min="6" max="6" width="15.7109375" style="6" customWidth="1"/>
    <col min="7" max="7" width="6.85546875" style="6" customWidth="1"/>
    <col min="8" max="8" width="14.7109375" style="6" customWidth="1"/>
    <col min="9" max="9" width="7" style="6" customWidth="1"/>
    <col min="10" max="16384" width="11.42578125" style="6"/>
  </cols>
  <sheetData>
    <row r="1" spans="1:10" x14ac:dyDescent="0.25">
      <c r="A1" s="42" t="s">
        <v>48</v>
      </c>
      <c r="B1" s="43"/>
      <c r="C1" s="43"/>
      <c r="D1" s="43"/>
      <c r="E1" s="43"/>
      <c r="F1" s="43"/>
      <c r="G1" s="43"/>
      <c r="H1" s="43"/>
      <c r="I1" s="43"/>
      <c r="J1" s="44"/>
    </row>
    <row r="2" spans="1:10" ht="27" customHeight="1" x14ac:dyDescent="0.25">
      <c r="A2" s="45"/>
      <c r="B2" s="46"/>
      <c r="C2" s="46"/>
      <c r="D2" s="46"/>
      <c r="E2" s="46"/>
      <c r="F2" s="46"/>
      <c r="G2" s="46"/>
      <c r="H2" s="46"/>
      <c r="I2" s="46"/>
      <c r="J2" s="47"/>
    </row>
    <row r="3" spans="1:10" ht="6.75" customHeight="1" x14ac:dyDescent="0.25">
      <c r="A3" s="7"/>
      <c r="B3" s="8"/>
      <c r="C3" s="8"/>
      <c r="D3" s="8"/>
      <c r="E3" s="8"/>
      <c r="F3" s="8"/>
      <c r="G3" s="8"/>
      <c r="H3" s="8"/>
      <c r="I3" s="8"/>
      <c r="J3" s="9"/>
    </row>
    <row r="4" spans="1:10" x14ac:dyDescent="0.25">
      <c r="A4" s="7"/>
      <c r="B4" s="10" t="s">
        <v>43</v>
      </c>
      <c r="C4" s="4"/>
      <c r="D4" s="8"/>
      <c r="E4" s="10" t="s">
        <v>46</v>
      </c>
      <c r="F4" s="35"/>
      <c r="G4" s="8"/>
      <c r="H4" s="32"/>
      <c r="I4" s="33"/>
      <c r="J4" s="9"/>
    </row>
    <row r="5" spans="1:10" x14ac:dyDescent="0.25">
      <c r="A5" s="7"/>
      <c r="B5" s="32"/>
      <c r="C5" s="8"/>
      <c r="D5" s="8"/>
      <c r="E5" s="32"/>
      <c r="F5" s="8"/>
      <c r="G5" s="8"/>
      <c r="H5" s="32"/>
      <c r="I5" s="8"/>
      <c r="J5" s="9"/>
    </row>
    <row r="6" spans="1:10" x14ac:dyDescent="0.25">
      <c r="A6" s="7"/>
      <c r="B6" s="10" t="s">
        <v>45</v>
      </c>
      <c r="C6" s="5"/>
      <c r="D6" s="8"/>
      <c r="E6" s="10" t="s">
        <v>44</v>
      </c>
      <c r="F6" s="19">
        <f>Calculadora!H7</f>
        <v>0</v>
      </c>
      <c r="G6" s="8"/>
      <c r="H6" s="10" t="s">
        <v>47</v>
      </c>
      <c r="I6" s="4"/>
      <c r="J6" s="9"/>
    </row>
    <row r="7" spans="1:10" x14ac:dyDescent="0.25">
      <c r="A7" s="7"/>
      <c r="B7" s="32"/>
      <c r="C7" s="8"/>
      <c r="D7" s="8"/>
      <c r="E7" s="32"/>
      <c r="F7" s="8"/>
      <c r="G7" s="8"/>
      <c r="H7" s="8"/>
      <c r="I7" s="8"/>
      <c r="J7" s="9"/>
    </row>
    <row r="8" spans="1:10" x14ac:dyDescent="0.25">
      <c r="A8" s="7"/>
      <c r="B8" s="10" t="s">
        <v>51</v>
      </c>
      <c r="C8" s="19">
        <f>Calculadora!H27</f>
        <v>0</v>
      </c>
      <c r="D8" s="8"/>
      <c r="E8" s="10" t="s">
        <v>74</v>
      </c>
      <c r="F8" s="14">
        <f>Calculadora!H29</f>
        <v>0</v>
      </c>
      <c r="G8" s="8"/>
      <c r="H8" s="8"/>
      <c r="I8" s="8"/>
      <c r="J8" s="9"/>
    </row>
    <row r="9" spans="1:10" ht="14.25" customHeight="1" x14ac:dyDescent="0.25">
      <c r="A9" s="7"/>
      <c r="B9" s="8"/>
      <c r="C9" s="8"/>
      <c r="D9" s="8"/>
      <c r="E9" s="8"/>
      <c r="F9" s="8"/>
      <c r="G9" s="8"/>
      <c r="H9" s="8"/>
      <c r="I9" s="8"/>
      <c r="J9" s="9"/>
    </row>
    <row r="10" spans="1:10" ht="15.75" thickBot="1" x14ac:dyDescent="0.3">
      <c r="A10" s="7"/>
      <c r="B10" s="8"/>
      <c r="C10" s="8"/>
      <c r="D10" s="34" t="s">
        <v>73</v>
      </c>
      <c r="E10" s="34" t="s">
        <v>30</v>
      </c>
      <c r="F10" s="34" t="s">
        <v>42</v>
      </c>
      <c r="G10" s="8"/>
      <c r="H10" s="8"/>
      <c r="I10" s="8"/>
      <c r="J10" s="9"/>
    </row>
    <row r="11" spans="1:10" ht="16.5" thickTop="1" thickBot="1" x14ac:dyDescent="0.3">
      <c r="A11" s="7"/>
      <c r="B11" s="8"/>
      <c r="C11" s="8"/>
      <c r="D11" s="40"/>
      <c r="E11" s="31"/>
      <c r="F11" s="31"/>
      <c r="G11" s="8"/>
      <c r="H11" s="8"/>
      <c r="I11" s="8"/>
      <c r="J11" s="9"/>
    </row>
    <row r="12" spans="1:10" ht="16.5" thickTop="1" thickBot="1" x14ac:dyDescent="0.3">
      <c r="A12" s="7"/>
      <c r="B12" s="8"/>
      <c r="C12" s="8"/>
      <c r="D12" s="40"/>
      <c r="E12" s="31"/>
      <c r="F12" s="31"/>
      <c r="G12" s="8"/>
      <c r="H12" s="8"/>
      <c r="I12" s="8"/>
      <c r="J12" s="9"/>
    </row>
    <row r="13" spans="1:10" ht="16.5" thickTop="1" thickBot="1" x14ac:dyDescent="0.3">
      <c r="A13" s="7"/>
      <c r="B13" s="8"/>
      <c r="C13" s="8"/>
      <c r="D13" s="40"/>
      <c r="E13" s="31"/>
      <c r="F13" s="31"/>
      <c r="G13" s="8"/>
      <c r="H13" s="8"/>
      <c r="I13" s="8"/>
      <c r="J13" s="9"/>
    </row>
    <row r="14" spans="1:10" ht="16.5" thickTop="1" thickBot="1" x14ac:dyDescent="0.3">
      <c r="A14" s="7"/>
      <c r="B14" s="8"/>
      <c r="C14" s="8"/>
      <c r="D14" s="40"/>
      <c r="E14" s="31"/>
      <c r="F14" s="31"/>
      <c r="G14" s="8"/>
      <c r="H14" s="8"/>
      <c r="I14" s="8"/>
      <c r="J14" s="9"/>
    </row>
    <row r="15" spans="1:10" ht="16.5" thickTop="1" thickBot="1" x14ac:dyDescent="0.3">
      <c r="A15" s="7"/>
      <c r="B15" s="8"/>
      <c r="C15" s="8"/>
      <c r="D15" s="40"/>
      <c r="E15" s="31"/>
      <c r="F15" s="31"/>
      <c r="G15" s="8"/>
      <c r="H15" s="8"/>
      <c r="I15" s="8"/>
      <c r="J15" s="9"/>
    </row>
    <row r="16" spans="1:10" ht="16.5" thickTop="1" thickBot="1" x14ac:dyDescent="0.3">
      <c r="A16" s="7"/>
      <c r="B16" s="8"/>
      <c r="C16" s="8"/>
      <c r="D16" s="40"/>
      <c r="E16" s="31"/>
      <c r="F16" s="31"/>
      <c r="G16" s="8"/>
      <c r="H16" s="8"/>
      <c r="I16" s="8"/>
      <c r="J16" s="9"/>
    </row>
    <row r="17" spans="1:10" ht="16.5" thickTop="1" thickBot="1" x14ac:dyDescent="0.3">
      <c r="A17" s="7"/>
      <c r="B17" s="8"/>
      <c r="C17" s="8"/>
      <c r="D17" s="40"/>
      <c r="E17" s="31"/>
      <c r="F17" s="31"/>
      <c r="G17" s="8"/>
      <c r="H17" s="8"/>
      <c r="I17" s="8"/>
      <c r="J17" s="9"/>
    </row>
    <row r="18" spans="1:10" ht="16.5" thickTop="1" thickBot="1" x14ac:dyDescent="0.3">
      <c r="A18" s="7"/>
      <c r="B18" s="8"/>
      <c r="C18" s="8"/>
      <c r="D18" s="40"/>
      <c r="E18" s="31"/>
      <c r="F18" s="31"/>
      <c r="G18" s="8"/>
      <c r="H18" s="8"/>
      <c r="I18" s="8"/>
      <c r="J18" s="9"/>
    </row>
    <row r="19" spans="1:10" ht="16.5" thickTop="1" thickBot="1" x14ac:dyDescent="0.3">
      <c r="A19" s="7"/>
      <c r="B19" s="8"/>
      <c r="C19" s="8"/>
      <c r="D19" s="40"/>
      <c r="E19" s="31"/>
      <c r="F19" s="31"/>
      <c r="G19" s="8"/>
      <c r="H19" s="8"/>
      <c r="I19" s="8"/>
      <c r="J19" s="9"/>
    </row>
    <row r="20" spans="1:10" ht="16.5" thickTop="1" thickBot="1" x14ac:dyDescent="0.3">
      <c r="A20" s="7"/>
      <c r="B20" s="8"/>
      <c r="C20" s="8"/>
      <c r="D20" s="40"/>
      <c r="E20" s="31"/>
      <c r="F20" s="31"/>
      <c r="G20" s="8"/>
      <c r="H20" s="8"/>
      <c r="I20" s="8"/>
      <c r="J20" s="9"/>
    </row>
    <row r="21" spans="1:10" ht="16.5" thickTop="1" thickBot="1" x14ac:dyDescent="0.3">
      <c r="A21" s="7"/>
      <c r="B21" s="8"/>
      <c r="C21" s="8"/>
      <c r="D21" s="40"/>
      <c r="E21" s="31"/>
      <c r="F21" s="31"/>
      <c r="G21" s="8"/>
      <c r="H21" s="8"/>
      <c r="I21" s="8"/>
      <c r="J21" s="9"/>
    </row>
    <row r="22" spans="1:10" ht="16.5" thickTop="1" thickBot="1" x14ac:dyDescent="0.3">
      <c r="A22" s="7"/>
      <c r="B22" s="8"/>
      <c r="C22" s="8"/>
      <c r="D22" s="40"/>
      <c r="E22" s="31"/>
      <c r="F22" s="31"/>
      <c r="G22" s="8"/>
      <c r="H22" s="8"/>
      <c r="I22" s="8"/>
      <c r="J22" s="9"/>
    </row>
    <row r="23" spans="1:10" ht="15.75" thickTop="1" x14ac:dyDescent="0.25">
      <c r="A23" s="15"/>
      <c r="B23" s="16"/>
      <c r="C23" s="16"/>
      <c r="D23" s="16"/>
      <c r="E23" s="16"/>
      <c r="F23" s="16"/>
      <c r="G23" s="16"/>
      <c r="H23" s="16"/>
      <c r="I23" s="16"/>
      <c r="J23" s="17"/>
    </row>
  </sheetData>
  <sheetProtection sheet="1" objects="1" scenarios="1" selectLockedCells="1"/>
  <mergeCells count="1">
    <mergeCell ref="A1:J2"/>
  </mergeCells>
  <phoneticPr fontId="7" type="noConversion"/>
  <dataValidations count="2">
    <dataValidation type="list" allowBlank="1" showInputMessage="1" showErrorMessage="1" sqref="F11:F22" xr:uid="{C1456487-8A39-4939-A555-8E774EE4AA05}">
      <formula1>INDIRECT(E11)</formula1>
    </dataValidation>
    <dataValidation type="list" allowBlank="1" showInputMessage="1" showErrorMessage="1" sqref="I6" xr:uid="{E1AFBF00-EDAF-4BE7-9C30-384B685EFD5D}">
      <formula1>"T,T/R"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CommandButton1">
          <controlPr defaultSize="0" autoLine="0" r:id="rId4">
            <anchor moveWithCells="1">
              <from>
                <xdr:col>10</xdr:col>
                <xdr:colOff>304800</xdr:colOff>
                <xdr:row>0</xdr:row>
                <xdr:rowOff>171450</xdr:rowOff>
              </from>
              <to>
                <xdr:col>12</xdr:col>
                <xdr:colOff>95250</xdr:colOff>
                <xdr:row>3</xdr:row>
                <xdr:rowOff>28575</xdr:rowOff>
              </to>
            </anchor>
          </controlPr>
        </control>
      </mc:Choice>
      <mc:Fallback>
        <control shapeId="8207" r:id="rId3" name="CommandButton1"/>
      </mc:Fallback>
    </mc:AlternateContent>
    <mc:AlternateContent xmlns:mc="http://schemas.openxmlformats.org/markup-compatibility/2006">
      <mc:Choice Requires="x14">
        <control shapeId="8210" r:id="rId5" name="CommandButton2">
          <controlPr defaultSize="0" autoLine="0" r:id="rId6">
            <anchor moveWithCells="1">
              <from>
                <xdr:col>10</xdr:col>
                <xdr:colOff>304800</xdr:colOff>
                <xdr:row>4</xdr:row>
                <xdr:rowOff>28575</xdr:rowOff>
              </from>
              <to>
                <xdr:col>12</xdr:col>
                <xdr:colOff>95250</xdr:colOff>
                <xdr:row>6</xdr:row>
                <xdr:rowOff>123825</xdr:rowOff>
              </to>
            </anchor>
          </controlPr>
        </control>
      </mc:Choice>
      <mc:Fallback>
        <control shapeId="8210" r:id="rId5" name="CommandButton2"/>
      </mc:Fallback>
    </mc:AlternateContent>
    <mc:AlternateContent xmlns:mc="http://schemas.openxmlformats.org/markup-compatibility/2006">
      <mc:Choice Requires="x14">
        <control shapeId="8237" r:id="rId7" name="Button 45">
          <controlPr defaultSize="0" print="0" autoFill="0" autoPict="0" macro="[0]!RegistrarPedido">
            <anchor moveWithCells="1" sizeWithCells="1">
              <from>
                <xdr:col>10</xdr:col>
                <xdr:colOff>333375</xdr:colOff>
                <xdr:row>9</xdr:row>
                <xdr:rowOff>142875</xdr:rowOff>
              </from>
              <to>
                <xdr:col>12</xdr:col>
                <xdr:colOff>123825</xdr:colOff>
                <xdr:row>12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0B40F6-65FA-48C2-ACB5-B7C7DCCB493D}">
          <x14:formula1>
            <xm:f>Opciones!$A$1:$H$1</xm:f>
          </x14:formula1>
          <xm:sqref>E11:E22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766D2-F96B-48A5-AF28-AA1112EB5E4A}">
  <sheetPr codeName="Hoja1"/>
  <dimension ref="A1:I30"/>
  <sheetViews>
    <sheetView zoomScale="80" zoomScaleNormal="80" workbookViewId="0">
      <selection sqref="A1:I3"/>
    </sheetView>
  </sheetViews>
  <sheetFormatPr baseColWidth="10" defaultRowHeight="15" x14ac:dyDescent="0.25"/>
  <cols>
    <col min="1" max="1" width="8.42578125" style="6" customWidth="1"/>
    <col min="2" max="2" width="13.5703125" style="6" customWidth="1"/>
    <col min="3" max="3" width="3.85546875" style="6" customWidth="1"/>
    <col min="4" max="4" width="11.42578125" style="6"/>
    <col min="5" max="5" width="7.85546875" style="6" customWidth="1"/>
    <col min="6" max="6" width="11.42578125" style="6" customWidth="1"/>
    <col min="7" max="7" width="7.85546875" style="6" customWidth="1"/>
    <col min="8" max="8" width="11.42578125" style="6"/>
    <col min="9" max="9" width="8.42578125" style="6" customWidth="1"/>
    <col min="10" max="16384" width="11.42578125" style="6"/>
  </cols>
  <sheetData>
    <row r="1" spans="1:9" x14ac:dyDescent="0.25">
      <c r="A1" s="48" t="s">
        <v>20</v>
      </c>
      <c r="B1" s="49"/>
      <c r="C1" s="49"/>
      <c r="D1" s="49"/>
      <c r="E1" s="49"/>
      <c r="F1" s="49"/>
      <c r="G1" s="49"/>
      <c r="H1" s="49"/>
      <c r="I1" s="50"/>
    </row>
    <row r="2" spans="1:9" x14ac:dyDescent="0.25">
      <c r="A2" s="51"/>
      <c r="B2" s="52"/>
      <c r="C2" s="52"/>
      <c r="D2" s="52"/>
      <c r="E2" s="52"/>
      <c r="F2" s="52"/>
      <c r="G2" s="52"/>
      <c r="H2" s="52"/>
      <c r="I2" s="53"/>
    </row>
    <row r="3" spans="1:9" ht="28.5" customHeight="1" x14ac:dyDescent="0.25">
      <c r="A3" s="51"/>
      <c r="B3" s="52"/>
      <c r="C3" s="52"/>
      <c r="D3" s="52"/>
      <c r="E3" s="52"/>
      <c r="F3" s="52"/>
      <c r="G3" s="52"/>
      <c r="H3" s="52"/>
      <c r="I3" s="53"/>
    </row>
    <row r="4" spans="1:9" ht="9.75" customHeight="1" x14ac:dyDescent="0.25">
      <c r="A4" s="7"/>
      <c r="B4" s="8"/>
      <c r="C4" s="8"/>
      <c r="D4" s="8"/>
      <c r="E4" s="8"/>
      <c r="F4" s="8"/>
      <c r="G4" s="8"/>
      <c r="H4" s="8"/>
      <c r="I4" s="9"/>
    </row>
    <row r="5" spans="1:9" x14ac:dyDescent="0.25">
      <c r="A5" s="7"/>
      <c r="B5" s="8"/>
      <c r="C5" s="10" t="s">
        <v>23</v>
      </c>
      <c r="D5" s="24">
        <f>Registro!C4</f>
        <v>0</v>
      </c>
      <c r="E5" s="8"/>
      <c r="F5" s="8"/>
      <c r="G5" s="8"/>
      <c r="H5" s="8"/>
      <c r="I5" s="9"/>
    </row>
    <row r="6" spans="1:9" x14ac:dyDescent="0.25">
      <c r="A6" s="7"/>
      <c r="B6" s="8"/>
      <c r="C6" s="10"/>
      <c r="D6" s="8"/>
      <c r="E6" s="8"/>
      <c r="F6" s="8"/>
      <c r="G6" s="8"/>
      <c r="H6" s="8"/>
      <c r="I6" s="9"/>
    </row>
    <row r="7" spans="1:9" x14ac:dyDescent="0.25">
      <c r="A7" s="7"/>
      <c r="B7" s="8"/>
      <c r="C7" s="10" t="s">
        <v>24</v>
      </c>
      <c r="D7" s="25">
        <f>Registro!C6</f>
        <v>0</v>
      </c>
      <c r="E7" s="8"/>
      <c r="F7" s="8"/>
      <c r="G7" s="10" t="s">
        <v>25</v>
      </c>
      <c r="H7" s="19">
        <f>+IFERROR(IF(AND(D7&gt;0,D7&lt;1500),1,ROUND(D7/1000,0)),0)</f>
        <v>0</v>
      </c>
      <c r="I7" s="9"/>
    </row>
    <row r="8" spans="1:9" ht="12.75" customHeight="1" x14ac:dyDescent="0.25">
      <c r="A8" s="7"/>
      <c r="B8" s="8"/>
      <c r="C8" s="8"/>
      <c r="D8" s="8"/>
      <c r="E8" s="8"/>
      <c r="F8" s="8"/>
      <c r="G8" s="8"/>
      <c r="H8" s="8"/>
      <c r="I8" s="9"/>
    </row>
    <row r="9" spans="1:9" x14ac:dyDescent="0.25">
      <c r="A9" s="7"/>
      <c r="B9" s="8"/>
      <c r="C9" s="8"/>
      <c r="D9" s="11" t="s">
        <v>16</v>
      </c>
      <c r="E9" s="11"/>
      <c r="F9" s="11" t="s">
        <v>0</v>
      </c>
      <c r="G9" s="11"/>
      <c r="H9" s="11" t="s">
        <v>17</v>
      </c>
      <c r="I9" s="9"/>
    </row>
    <row r="10" spans="1:9" ht="4.5" customHeight="1" x14ac:dyDescent="0.25">
      <c r="A10" s="7"/>
      <c r="B10" s="8"/>
      <c r="C10" s="8"/>
      <c r="D10" s="8"/>
      <c r="E10" s="8"/>
      <c r="F10" s="8"/>
      <c r="G10" s="8"/>
      <c r="H10" s="8"/>
      <c r="I10" s="9"/>
    </row>
    <row r="11" spans="1:9" x14ac:dyDescent="0.25">
      <c r="A11" s="7"/>
      <c r="B11" s="12" t="s">
        <v>54</v>
      </c>
      <c r="C11" s="8"/>
      <c r="D11" s="25">
        <f>+COUNTIF(TRAT,"FIGURA_COLOR_SELECCIÓN")</f>
        <v>0</v>
      </c>
      <c r="E11" s="8"/>
      <c r="F11" s="18" t="s">
        <v>22</v>
      </c>
      <c r="G11" s="8"/>
      <c r="H11" s="18">
        <f>+IF(D11=0,0,IF(D11=1,IFERROR(VLOOKUP($D$5,Insumos,6,FALSE),VLOOKUP("Otros",Insumos,6,FALSE)),IF(D11=2,IFERROR(VLOOKUP($D$5,Insumos,7,FALSE),VLOOKUP("Otros",Insumos,7,FALSE)),IF(D11=3,IFERROR(VLOOKUP($D$5,Insumos,8,FALSE),VLOOKUP("Otros",Insumos,8,FALSE)),IF(D11=4,IFERROR(VLOOKUP($D$5,Insumos,2,FALSE),VLOOKUP("Otros",Insumos,2,FALSE)),IFERROR(VLOOKUP($D$5,Insumos,2,FALSE),VLOOKUP("Otros",Insumos,2,FALSE))+IFERROR(VLOOKUP($D$5,Insumos,6,FALSE),VLOOKUP("Otros",Insumos,6,FALSE)))))))</f>
        <v>0</v>
      </c>
      <c r="I11" s="9"/>
    </row>
    <row r="12" spans="1:9" x14ac:dyDescent="0.25">
      <c r="A12" s="7"/>
      <c r="B12" s="12"/>
      <c r="C12" s="8"/>
      <c r="D12" s="8"/>
      <c r="E12" s="8"/>
      <c r="F12" s="13"/>
      <c r="G12" s="8"/>
      <c r="H12" s="8"/>
      <c r="I12" s="9"/>
    </row>
    <row r="13" spans="1:9" x14ac:dyDescent="0.25">
      <c r="A13" s="7"/>
      <c r="B13" s="12" t="s">
        <v>55</v>
      </c>
      <c r="C13" s="8"/>
      <c r="D13" s="25">
        <f>+COUNTIF(TRAT,"FIGURA COLOR ESPECIAL")</f>
        <v>0</v>
      </c>
      <c r="E13" s="8"/>
      <c r="F13" s="18" t="str">
        <f>+IF(D5="","",IF(D13=0,"",IFERROR(VLOOKUP($D$5,Insumos,3,FALSE),VLOOKUP("Otros",Insumos,3,FALSE))))</f>
        <v/>
      </c>
      <c r="G13" s="8"/>
      <c r="H13" s="18">
        <f>IFERROR(D13*F13,0)</f>
        <v>0</v>
      </c>
      <c r="I13" s="9"/>
    </row>
    <row r="14" spans="1:9" x14ac:dyDescent="0.25">
      <c r="A14" s="7"/>
      <c r="B14" s="12"/>
      <c r="C14" s="8"/>
      <c r="D14" s="8"/>
      <c r="E14" s="8"/>
      <c r="F14" s="8"/>
      <c r="G14" s="8"/>
      <c r="H14" s="8"/>
      <c r="I14" s="9"/>
    </row>
    <row r="15" spans="1:9" x14ac:dyDescent="0.25">
      <c r="A15" s="7"/>
      <c r="B15" s="12" t="s">
        <v>56</v>
      </c>
      <c r="C15" s="8"/>
      <c r="D15" s="25">
        <f>+COUNTIF(TRAT,"FIGURA COLOR FL. / MET.")</f>
        <v>0</v>
      </c>
      <c r="E15" s="8"/>
      <c r="F15" s="18" t="str">
        <f>+IF(D5="","",IF(D15=0,"",IFERROR(VLOOKUP($D$5,Insumos,9,FALSE),VLOOKUP("Otros",Insumos,9,FALSE))))</f>
        <v/>
      </c>
      <c r="G15" s="8"/>
      <c r="H15" s="18">
        <f>IFERROR(D15*F15,0)</f>
        <v>0</v>
      </c>
      <c r="I15" s="9"/>
    </row>
    <row r="16" spans="1:9" x14ac:dyDescent="0.25">
      <c r="A16" s="7"/>
      <c r="B16" s="12"/>
      <c r="C16" s="8"/>
      <c r="D16" s="8"/>
      <c r="E16" s="8"/>
      <c r="F16" s="8"/>
      <c r="G16" s="8"/>
      <c r="H16" s="8"/>
      <c r="I16" s="9"/>
    </row>
    <row r="17" spans="1:9" x14ac:dyDescent="0.25">
      <c r="A17" s="7"/>
      <c r="B17" s="12" t="s">
        <v>26</v>
      </c>
      <c r="C17" s="8"/>
      <c r="D17" s="25">
        <f>+COUNTIF(TRAT,"BARNIZ")</f>
        <v>0</v>
      </c>
      <c r="E17" s="8"/>
      <c r="F17" s="18" t="str">
        <f>+IF(D5="","",IF(D17=0,"",IFERROR(VLOOKUP($D$5,Insumos,5,FALSE),VLOOKUP("Otros",Insumos,5,FALSE))))</f>
        <v/>
      </c>
      <c r="G17" s="8"/>
      <c r="H17" s="18">
        <f>IFERROR(D17*F17,0)</f>
        <v>0</v>
      </c>
      <c r="I17" s="9"/>
    </row>
    <row r="18" spans="1:9" x14ac:dyDescent="0.25">
      <c r="A18" s="7"/>
      <c r="B18" s="12"/>
      <c r="C18" s="8"/>
      <c r="D18" s="8"/>
      <c r="E18" s="8"/>
      <c r="F18" s="8"/>
      <c r="G18" s="8"/>
      <c r="H18" s="8"/>
      <c r="I18" s="9"/>
    </row>
    <row r="19" spans="1:9" x14ac:dyDescent="0.25">
      <c r="A19" s="7"/>
      <c r="B19" s="12" t="s">
        <v>27</v>
      </c>
      <c r="C19" s="8"/>
      <c r="D19" s="25">
        <f>+COUNTIF(TRAT,"BARNIZ_ACRÍLICO")</f>
        <v>0</v>
      </c>
      <c r="E19" s="8"/>
      <c r="F19" s="18" t="str">
        <f>+IF(D5="","",IF(D19=0,"",IFERROR(VLOOKUP($D$5,Insumos,4,FALSE),VLOOKUP("Otros",Insumos,4,FALSE))))</f>
        <v/>
      </c>
      <c r="G19" s="8"/>
      <c r="H19" s="18">
        <f>IFERROR(D19*F19,0)</f>
        <v>0</v>
      </c>
      <c r="I19" s="9"/>
    </row>
    <row r="20" spans="1:9" x14ac:dyDescent="0.25">
      <c r="A20" s="7"/>
      <c r="B20" s="12"/>
      <c r="C20" s="8"/>
      <c r="D20" s="8"/>
      <c r="E20" s="8"/>
      <c r="F20" s="8"/>
      <c r="G20" s="8"/>
      <c r="H20" s="8"/>
      <c r="I20" s="9"/>
    </row>
    <row r="21" spans="1:9" x14ac:dyDescent="0.25">
      <c r="A21" s="7"/>
      <c r="B21" s="12" t="s">
        <v>29</v>
      </c>
      <c r="C21" s="8"/>
      <c r="D21" s="25">
        <f>+COUNTIF(TRAT,"FONDO ESPECIAL")</f>
        <v>0</v>
      </c>
      <c r="E21" s="8"/>
      <c r="F21" s="18" t="str">
        <f>+IF(D5="","",IF(D21=0,"",IFERROR(VLOOKUP($D$5,Insumos,10,FALSE),VLOOKUP("Otros",Insumos,10,FALSE))))</f>
        <v/>
      </c>
      <c r="G21" s="8"/>
      <c r="H21" s="18">
        <f>IFERROR(D21*F21,0)</f>
        <v>0</v>
      </c>
      <c r="I21" s="9"/>
    </row>
    <row r="22" spans="1:9" x14ac:dyDescent="0.25">
      <c r="A22" s="7"/>
      <c r="B22" s="12"/>
      <c r="C22" s="8"/>
      <c r="D22" s="8"/>
      <c r="E22" s="8"/>
      <c r="F22" s="8"/>
      <c r="G22" s="8"/>
      <c r="H22" s="8"/>
      <c r="I22" s="9"/>
    </row>
    <row r="23" spans="1:9" x14ac:dyDescent="0.25">
      <c r="A23" s="7"/>
      <c r="B23" s="12" t="s">
        <v>28</v>
      </c>
      <c r="C23" s="8"/>
      <c r="D23" s="25">
        <f>+COUNTIF(TRAT,"FONDO SELECCIÓN")</f>
        <v>0</v>
      </c>
      <c r="E23" s="8"/>
      <c r="F23" s="18" t="str">
        <f>+IF(D5="","",IF(D23=0,"",IFERROR(VLOOKUP($D$5,Insumos,11,FALSE),VLOOKUP("Otros",Insumos,11,FALSE))))</f>
        <v/>
      </c>
      <c r="G23" s="8"/>
      <c r="H23" s="18">
        <f>IFERROR(D23*F23,0)</f>
        <v>0</v>
      </c>
      <c r="I23" s="9"/>
    </row>
    <row r="24" spans="1:9" x14ac:dyDescent="0.25">
      <c r="A24" s="7"/>
      <c r="B24" s="12"/>
      <c r="C24" s="8"/>
      <c r="D24" s="8"/>
      <c r="E24" s="8"/>
      <c r="F24" s="8"/>
      <c r="G24" s="8"/>
      <c r="H24" s="8"/>
      <c r="I24" s="9"/>
    </row>
    <row r="25" spans="1:9" x14ac:dyDescent="0.25">
      <c r="A25" s="7"/>
      <c r="B25" s="12" t="s">
        <v>53</v>
      </c>
      <c r="C25" s="8"/>
      <c r="D25" s="25">
        <f>+COUNTIF(TRAT,"FONDO FL. / MET.")</f>
        <v>0</v>
      </c>
      <c r="E25" s="8"/>
      <c r="F25" s="18" t="str">
        <f>+IF(D5="","",IF(D25=0,"",IFERROR(VLOOKUP($D$5,Insumos,12,FALSE),VLOOKUP("Otros",Insumos,12,FALSE))))</f>
        <v/>
      </c>
      <c r="G25" s="8"/>
      <c r="H25" s="18">
        <f>IFERROR(D25*F25,0)</f>
        <v>0</v>
      </c>
      <c r="I25" s="9"/>
    </row>
    <row r="26" spans="1:9" x14ac:dyDescent="0.25">
      <c r="A26" s="7"/>
      <c r="B26" s="20"/>
      <c r="C26" s="8"/>
      <c r="D26" s="8"/>
      <c r="E26" s="8"/>
      <c r="F26" s="8"/>
      <c r="G26" s="8"/>
      <c r="H26" s="8"/>
      <c r="I26" s="9"/>
    </row>
    <row r="27" spans="1:9" x14ac:dyDescent="0.25">
      <c r="A27" s="7"/>
      <c r="B27" s="8"/>
      <c r="C27" s="8"/>
      <c r="D27" s="8"/>
      <c r="E27" s="8"/>
      <c r="F27" s="11" t="s">
        <v>18</v>
      </c>
      <c r="G27" s="8"/>
      <c r="H27" s="18">
        <f>SUM(H11,H13,H17,H19,H15,H21,H23)</f>
        <v>0</v>
      </c>
      <c r="I27" s="9"/>
    </row>
    <row r="28" spans="1:9" x14ac:dyDescent="0.25">
      <c r="A28" s="7"/>
      <c r="B28" s="8"/>
      <c r="C28" s="8"/>
      <c r="D28" s="8"/>
      <c r="E28" s="8"/>
      <c r="F28" s="11"/>
      <c r="G28" s="8"/>
      <c r="H28" s="8"/>
      <c r="I28" s="9"/>
    </row>
    <row r="29" spans="1:9" x14ac:dyDescent="0.25">
      <c r="A29" s="7"/>
      <c r="B29" s="8"/>
      <c r="C29" s="8"/>
      <c r="D29" s="8"/>
      <c r="E29" s="8"/>
      <c r="F29" s="11" t="s">
        <v>19</v>
      </c>
      <c r="G29" s="8"/>
      <c r="H29" s="14">
        <f>IFERROR(H27*H7,0)</f>
        <v>0</v>
      </c>
      <c r="I29" s="9"/>
    </row>
    <row r="30" spans="1:9" x14ac:dyDescent="0.25">
      <c r="A30" s="15"/>
      <c r="B30" s="16"/>
      <c r="C30" s="16"/>
      <c r="D30" s="16"/>
      <c r="E30" s="16"/>
      <c r="F30" s="16"/>
      <c r="G30" s="16"/>
      <c r="H30" s="16"/>
      <c r="I30" s="17"/>
    </row>
  </sheetData>
  <sheetProtection sheet="1" objects="1" scenarios="1" selectLockedCells="1"/>
  <mergeCells count="1">
    <mergeCell ref="A1:I3"/>
  </mergeCells>
  <dataValidations count="2">
    <dataValidation showInputMessage="1" showErrorMessage="1" sqref="D11" xr:uid="{DEFD25B6-B476-45A7-AA03-80BF5563BAAC}"/>
    <dataValidation operator="greaterThan" showInputMessage="1" showErrorMessage="1" sqref="D7 D13 D17 D19 D15 D21 D23 D25" xr:uid="{FD853668-542B-4D73-8478-FC17FEF949BD}"/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3BE9-72A0-4090-A8F8-0180203E1D04}">
  <sheetPr codeName="Hoja2">
    <tabColor rgb="FFFFFF00"/>
  </sheetPr>
  <dimension ref="A1:L6"/>
  <sheetViews>
    <sheetView workbookViewId="0"/>
  </sheetViews>
  <sheetFormatPr baseColWidth="10" defaultRowHeight="15" x14ac:dyDescent="0.25"/>
  <cols>
    <col min="5" max="5" width="12.42578125" bestFit="1" customWidth="1"/>
    <col min="10" max="10" width="12.42578125" bestFit="1" customWidth="1"/>
    <col min="12" max="12" width="11.85546875" bestFit="1" customWidth="1"/>
  </cols>
  <sheetData>
    <row r="1" spans="1:12" x14ac:dyDescent="0.25">
      <c r="A1" s="2" t="s">
        <v>4</v>
      </c>
      <c r="B1" s="2" t="s">
        <v>11</v>
      </c>
      <c r="C1" s="2" t="s">
        <v>7</v>
      </c>
      <c r="D1" s="38" t="s">
        <v>12</v>
      </c>
      <c r="E1" s="38" t="s">
        <v>5</v>
      </c>
      <c r="F1" s="2" t="s">
        <v>13</v>
      </c>
      <c r="G1" s="2" t="s">
        <v>14</v>
      </c>
      <c r="H1" s="2" t="s">
        <v>15</v>
      </c>
      <c r="I1" s="3" t="s">
        <v>8</v>
      </c>
      <c r="J1" s="36" t="s">
        <v>9</v>
      </c>
      <c r="K1" s="36" t="s">
        <v>10</v>
      </c>
      <c r="L1" s="37" t="s">
        <v>57</v>
      </c>
    </row>
    <row r="2" spans="1:12" x14ac:dyDescent="0.25">
      <c r="A2" s="1" t="s">
        <v>2</v>
      </c>
      <c r="B2" s="1">
        <v>85</v>
      </c>
      <c r="C2" s="1">
        <v>25</v>
      </c>
      <c r="D2" s="1">
        <v>35</v>
      </c>
      <c r="E2" s="1">
        <v>20</v>
      </c>
      <c r="F2" s="1">
        <v>20</v>
      </c>
      <c r="G2" s="1">
        <v>40</v>
      </c>
      <c r="H2" s="1">
        <v>60</v>
      </c>
      <c r="I2" s="1">
        <v>35</v>
      </c>
      <c r="J2" s="1">
        <v>70</v>
      </c>
      <c r="K2" s="1">
        <v>50</v>
      </c>
      <c r="L2" s="30">
        <v>70</v>
      </c>
    </row>
    <row r="3" spans="1:12" x14ac:dyDescent="0.25">
      <c r="A3" s="1" t="s">
        <v>1</v>
      </c>
      <c r="B3" s="1">
        <v>70</v>
      </c>
      <c r="C3" s="1">
        <v>25</v>
      </c>
      <c r="D3" s="1">
        <v>30</v>
      </c>
      <c r="E3" s="1">
        <v>20</v>
      </c>
      <c r="F3" s="1">
        <v>20</v>
      </c>
      <c r="G3" s="1">
        <v>35</v>
      </c>
      <c r="H3" s="1">
        <v>55</v>
      </c>
      <c r="I3" s="1">
        <v>35</v>
      </c>
      <c r="J3" s="1">
        <v>70</v>
      </c>
      <c r="K3" s="1">
        <v>50</v>
      </c>
      <c r="L3" s="30">
        <v>70</v>
      </c>
    </row>
    <row r="4" spans="1:12" x14ac:dyDescent="0.25">
      <c r="A4" s="1" t="s">
        <v>3</v>
      </c>
      <c r="B4" s="1">
        <v>70</v>
      </c>
      <c r="C4" s="1">
        <v>25</v>
      </c>
      <c r="D4" s="1">
        <v>30</v>
      </c>
      <c r="E4" s="1">
        <v>20</v>
      </c>
      <c r="F4" s="1">
        <v>20</v>
      </c>
      <c r="G4" s="1">
        <v>35</v>
      </c>
      <c r="H4" s="1">
        <v>55</v>
      </c>
      <c r="I4" s="1">
        <v>35</v>
      </c>
      <c r="J4" s="1">
        <v>70</v>
      </c>
      <c r="K4" s="1">
        <v>50</v>
      </c>
      <c r="L4" s="30">
        <v>70</v>
      </c>
    </row>
    <row r="5" spans="1:12" x14ac:dyDescent="0.25">
      <c r="A5" s="1" t="s">
        <v>6</v>
      </c>
      <c r="B5" s="1">
        <v>80</v>
      </c>
      <c r="C5" s="1">
        <v>25</v>
      </c>
      <c r="D5" s="1">
        <v>30</v>
      </c>
      <c r="E5" s="1">
        <v>20</v>
      </c>
      <c r="F5" s="1">
        <v>20</v>
      </c>
      <c r="G5" s="1">
        <v>40</v>
      </c>
      <c r="H5" s="1">
        <v>60</v>
      </c>
      <c r="I5" s="1">
        <v>35</v>
      </c>
      <c r="J5" s="1">
        <v>70</v>
      </c>
      <c r="K5" s="1">
        <v>50</v>
      </c>
      <c r="L5" s="30">
        <v>70</v>
      </c>
    </row>
    <row r="6" spans="1:12" x14ac:dyDescent="0.25">
      <c r="A6" s="1" t="s">
        <v>21</v>
      </c>
      <c r="B6" s="1">
        <v>70</v>
      </c>
      <c r="C6" s="1">
        <v>25</v>
      </c>
      <c r="D6" s="1">
        <v>30</v>
      </c>
      <c r="E6" s="1">
        <v>20</v>
      </c>
      <c r="F6" s="1">
        <v>20</v>
      </c>
      <c r="G6" s="1">
        <v>35</v>
      </c>
      <c r="H6" s="1">
        <v>55</v>
      </c>
      <c r="I6" s="1">
        <v>35</v>
      </c>
      <c r="J6" s="1">
        <v>70</v>
      </c>
      <c r="K6" s="1">
        <v>50</v>
      </c>
      <c r="L6" s="30">
        <v>70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A399-B7D1-4066-8ACB-8EDE6B8D0C72}">
  <sheetPr codeName="Hoja4"/>
  <dimension ref="A1:I22"/>
  <sheetViews>
    <sheetView workbookViewId="0"/>
  </sheetViews>
  <sheetFormatPr baseColWidth="10" defaultRowHeight="15" x14ac:dyDescent="0.25"/>
  <cols>
    <col min="4" max="4" width="14" customWidth="1"/>
    <col min="5" max="5" width="12.5703125" customWidth="1"/>
    <col min="6" max="6" width="13.7109375" customWidth="1"/>
    <col min="7" max="7" width="12.42578125" customWidth="1"/>
    <col min="9" max="9" width="11.5703125" customWidth="1"/>
  </cols>
  <sheetData>
    <row r="1" spans="1:9" s="21" customFormat="1" x14ac:dyDescent="0.25">
      <c r="A1" s="21" t="s">
        <v>59</v>
      </c>
      <c r="B1" s="21" t="s">
        <v>60</v>
      </c>
      <c r="C1" s="21" t="s">
        <v>61</v>
      </c>
      <c r="D1" s="21" t="s">
        <v>63</v>
      </c>
      <c r="E1" s="21" t="s">
        <v>64</v>
      </c>
      <c r="F1" s="21" t="s">
        <v>69</v>
      </c>
      <c r="G1" s="21" t="s">
        <v>65</v>
      </c>
      <c r="H1" s="21" t="s">
        <v>66</v>
      </c>
      <c r="I1" s="21" t="s">
        <v>62</v>
      </c>
    </row>
    <row r="2" spans="1:9" x14ac:dyDescent="0.25">
      <c r="A2" s="39">
        <v>1</v>
      </c>
      <c r="B2" t="s">
        <v>81</v>
      </c>
      <c r="C2" s="26">
        <v>44044</v>
      </c>
      <c r="D2">
        <v>80</v>
      </c>
      <c r="E2">
        <v>800</v>
      </c>
      <c r="F2">
        <v>1</v>
      </c>
      <c r="G2">
        <v>80</v>
      </c>
      <c r="H2" t="s">
        <v>58</v>
      </c>
    </row>
    <row r="3" spans="1:9" x14ac:dyDescent="0.25">
      <c r="A3" s="39">
        <v>2</v>
      </c>
      <c r="B3" t="s">
        <v>77</v>
      </c>
      <c r="C3" s="26">
        <v>44044</v>
      </c>
      <c r="D3">
        <v>125</v>
      </c>
      <c r="E3">
        <v>800</v>
      </c>
      <c r="F3">
        <v>1</v>
      </c>
      <c r="G3">
        <v>125</v>
      </c>
      <c r="H3" t="s">
        <v>58</v>
      </c>
    </row>
    <row r="4" spans="1:9" x14ac:dyDescent="0.25">
      <c r="A4" s="39">
        <v>3</v>
      </c>
      <c r="B4" t="s">
        <v>81</v>
      </c>
      <c r="C4" s="26">
        <v>44044</v>
      </c>
      <c r="D4">
        <v>100</v>
      </c>
      <c r="E4">
        <v>300</v>
      </c>
      <c r="F4">
        <v>1</v>
      </c>
      <c r="G4">
        <v>100</v>
      </c>
      <c r="H4" t="s">
        <v>58</v>
      </c>
    </row>
    <row r="5" spans="1:9" x14ac:dyDescent="0.25">
      <c r="A5" s="39">
        <v>4</v>
      </c>
      <c r="B5" t="s">
        <v>81</v>
      </c>
      <c r="C5" s="26">
        <v>44044</v>
      </c>
      <c r="D5">
        <v>20</v>
      </c>
      <c r="E5">
        <v>800</v>
      </c>
      <c r="F5">
        <v>1</v>
      </c>
      <c r="G5">
        <v>20</v>
      </c>
      <c r="H5" t="s">
        <v>58</v>
      </c>
    </row>
    <row r="6" spans="1:9" x14ac:dyDescent="0.25">
      <c r="A6" s="39">
        <v>5</v>
      </c>
      <c r="B6" t="s">
        <v>77</v>
      </c>
      <c r="C6" s="26">
        <v>44045</v>
      </c>
      <c r="D6">
        <v>85</v>
      </c>
      <c r="E6">
        <v>600</v>
      </c>
      <c r="F6">
        <v>1</v>
      </c>
      <c r="G6">
        <v>85</v>
      </c>
      <c r="H6" t="s">
        <v>58</v>
      </c>
    </row>
    <row r="7" spans="1:9" x14ac:dyDescent="0.25">
      <c r="A7" s="39">
        <v>6</v>
      </c>
      <c r="B7" t="s">
        <v>77</v>
      </c>
      <c r="C7" s="26">
        <v>44045</v>
      </c>
      <c r="D7">
        <v>50</v>
      </c>
      <c r="E7">
        <v>200</v>
      </c>
      <c r="F7">
        <v>1</v>
      </c>
      <c r="G7">
        <v>50</v>
      </c>
      <c r="H7" t="s">
        <v>58</v>
      </c>
    </row>
    <row r="8" spans="1:9" x14ac:dyDescent="0.25">
      <c r="A8" s="39">
        <v>7</v>
      </c>
      <c r="B8" t="s">
        <v>85</v>
      </c>
      <c r="C8" s="26">
        <v>44046</v>
      </c>
      <c r="D8">
        <v>95</v>
      </c>
      <c r="E8">
        <v>1100</v>
      </c>
      <c r="F8">
        <v>1</v>
      </c>
      <c r="G8">
        <v>95</v>
      </c>
      <c r="H8" t="s">
        <v>58</v>
      </c>
    </row>
    <row r="9" spans="1:9" x14ac:dyDescent="0.25">
      <c r="A9" s="39">
        <v>8</v>
      </c>
      <c r="B9" t="s">
        <v>85</v>
      </c>
      <c r="C9" s="26">
        <v>44046</v>
      </c>
      <c r="D9">
        <v>20</v>
      </c>
      <c r="E9">
        <v>4200</v>
      </c>
      <c r="F9">
        <v>4</v>
      </c>
      <c r="G9">
        <v>80</v>
      </c>
      <c r="H9" t="s">
        <v>58</v>
      </c>
    </row>
    <row r="10" spans="1:9" x14ac:dyDescent="0.25">
      <c r="A10" s="39">
        <v>9</v>
      </c>
      <c r="B10" t="s">
        <v>88</v>
      </c>
      <c r="C10" s="26">
        <v>44047</v>
      </c>
      <c r="D10">
        <v>85</v>
      </c>
      <c r="E10">
        <v>200</v>
      </c>
      <c r="F10">
        <v>1</v>
      </c>
      <c r="G10">
        <v>85</v>
      </c>
      <c r="H10" t="s">
        <v>58</v>
      </c>
    </row>
    <row r="11" spans="1:9" x14ac:dyDescent="0.25">
      <c r="A11" s="39">
        <v>10</v>
      </c>
      <c r="B11" t="s">
        <v>89</v>
      </c>
      <c r="C11" s="26">
        <v>44048</v>
      </c>
      <c r="D11">
        <v>205</v>
      </c>
      <c r="E11">
        <v>525</v>
      </c>
      <c r="F11">
        <v>1</v>
      </c>
      <c r="G11">
        <v>205</v>
      </c>
      <c r="H11" t="s">
        <v>58</v>
      </c>
    </row>
    <row r="12" spans="1:9" x14ac:dyDescent="0.25">
      <c r="A12" s="39">
        <v>11</v>
      </c>
      <c r="B12" t="s">
        <v>89</v>
      </c>
      <c r="C12" s="26">
        <v>44048</v>
      </c>
      <c r="D12">
        <v>25</v>
      </c>
      <c r="E12">
        <v>350</v>
      </c>
      <c r="F12">
        <v>1</v>
      </c>
      <c r="G12">
        <v>25</v>
      </c>
      <c r="H12" t="s">
        <v>58</v>
      </c>
    </row>
    <row r="13" spans="1:9" x14ac:dyDescent="0.25">
      <c r="A13" s="39">
        <v>12</v>
      </c>
      <c r="B13" t="s">
        <v>93</v>
      </c>
      <c r="C13" s="26">
        <v>44048</v>
      </c>
      <c r="D13">
        <v>280</v>
      </c>
      <c r="E13">
        <v>1200</v>
      </c>
      <c r="F13">
        <v>1</v>
      </c>
      <c r="G13">
        <v>280</v>
      </c>
      <c r="H13" t="s">
        <v>96</v>
      </c>
    </row>
    <row r="14" spans="1:9" x14ac:dyDescent="0.25">
      <c r="A14" s="39">
        <v>13</v>
      </c>
      <c r="B14" t="s">
        <v>97</v>
      </c>
      <c r="C14" s="26">
        <v>44089</v>
      </c>
      <c r="D14">
        <v>150</v>
      </c>
      <c r="E14">
        <v>5000</v>
      </c>
      <c r="F14">
        <v>5</v>
      </c>
      <c r="G14">
        <v>750</v>
      </c>
      <c r="H14" t="s">
        <v>58</v>
      </c>
    </row>
    <row r="15" spans="1:9" x14ac:dyDescent="0.25">
      <c r="A15" s="39">
        <v>14</v>
      </c>
      <c r="B15" t="s">
        <v>100</v>
      </c>
      <c r="C15" s="26">
        <v>44089</v>
      </c>
      <c r="D15">
        <v>275</v>
      </c>
      <c r="E15">
        <v>1120</v>
      </c>
      <c r="F15">
        <v>1</v>
      </c>
      <c r="G15">
        <v>275</v>
      </c>
      <c r="H15" t="s">
        <v>58</v>
      </c>
    </row>
    <row r="16" spans="1:9" x14ac:dyDescent="0.25">
      <c r="A16" s="39">
        <v>15</v>
      </c>
      <c r="B16" t="s">
        <v>100</v>
      </c>
      <c r="C16" s="26">
        <v>44090</v>
      </c>
      <c r="D16">
        <v>140</v>
      </c>
      <c r="E16">
        <v>1300</v>
      </c>
      <c r="F16">
        <v>1</v>
      </c>
      <c r="G16">
        <v>140</v>
      </c>
      <c r="H16" t="s">
        <v>58</v>
      </c>
    </row>
    <row r="17" spans="1:8" x14ac:dyDescent="0.25">
      <c r="A17" s="39">
        <v>16</v>
      </c>
      <c r="B17" t="s">
        <v>102</v>
      </c>
      <c r="C17" s="26">
        <v>44090</v>
      </c>
      <c r="D17">
        <v>70</v>
      </c>
      <c r="E17">
        <v>300</v>
      </c>
      <c r="F17">
        <v>1</v>
      </c>
      <c r="G17">
        <v>70</v>
      </c>
      <c r="H17" t="s">
        <v>58</v>
      </c>
    </row>
    <row r="18" spans="1:8" x14ac:dyDescent="0.25">
      <c r="A18" s="39">
        <v>17</v>
      </c>
      <c r="B18" t="s">
        <v>77</v>
      </c>
      <c r="C18" s="26">
        <v>44090</v>
      </c>
      <c r="D18">
        <v>175</v>
      </c>
      <c r="E18">
        <v>300</v>
      </c>
      <c r="F18">
        <v>1</v>
      </c>
      <c r="G18">
        <v>175</v>
      </c>
      <c r="H18" t="s">
        <v>58</v>
      </c>
    </row>
    <row r="19" spans="1:8" x14ac:dyDescent="0.25">
      <c r="A19" s="39">
        <v>18</v>
      </c>
      <c r="B19" t="s">
        <v>103</v>
      </c>
      <c r="C19" s="26">
        <v>44094</v>
      </c>
      <c r="D19">
        <v>440</v>
      </c>
      <c r="E19">
        <v>2000</v>
      </c>
      <c r="F19">
        <v>2</v>
      </c>
      <c r="G19">
        <v>880</v>
      </c>
      <c r="H19" t="s">
        <v>58</v>
      </c>
    </row>
    <row r="20" spans="1:8" x14ac:dyDescent="0.25">
      <c r="A20" s="39">
        <v>19</v>
      </c>
      <c r="B20" t="s">
        <v>102</v>
      </c>
      <c r="C20" s="26">
        <v>44109</v>
      </c>
      <c r="D20">
        <v>90</v>
      </c>
      <c r="E20">
        <v>2000</v>
      </c>
      <c r="F20">
        <v>2</v>
      </c>
      <c r="G20">
        <v>180</v>
      </c>
      <c r="H20" t="s">
        <v>96</v>
      </c>
    </row>
    <row r="21" spans="1:8" x14ac:dyDescent="0.25">
      <c r="A21" s="39">
        <v>20</v>
      </c>
      <c r="B21" t="s">
        <v>104</v>
      </c>
      <c r="C21" s="26">
        <v>44109</v>
      </c>
      <c r="D21">
        <v>160</v>
      </c>
      <c r="E21">
        <v>700</v>
      </c>
      <c r="F21">
        <v>1</v>
      </c>
      <c r="G21">
        <v>160</v>
      </c>
      <c r="H21" t="s">
        <v>96</v>
      </c>
    </row>
    <row r="22" spans="1:8" x14ac:dyDescent="0.25">
      <c r="A22" s="39">
        <v>21</v>
      </c>
      <c r="B22" t="s">
        <v>77</v>
      </c>
      <c r="C22" s="26">
        <v>44124</v>
      </c>
      <c r="D22">
        <v>155</v>
      </c>
      <c r="E22">
        <v>1100</v>
      </c>
      <c r="F22">
        <v>1</v>
      </c>
      <c r="G22">
        <v>155</v>
      </c>
      <c r="H22" t="s">
        <v>58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68FB5-E954-4BD7-A61B-012384B8440B}">
  <sheetPr codeName="Hoja5"/>
  <dimension ref="A1:C102"/>
  <sheetViews>
    <sheetView workbookViewId="0"/>
  </sheetViews>
  <sheetFormatPr baseColWidth="10" defaultRowHeight="15" x14ac:dyDescent="0.25"/>
  <cols>
    <col min="2" max="2" width="25.42578125" bestFit="1" customWidth="1"/>
    <col min="3" max="3" width="15.5703125" customWidth="1"/>
  </cols>
  <sheetData>
    <row r="1" spans="1:3" s="21" customFormat="1" x14ac:dyDescent="0.25">
      <c r="A1" s="21" t="s">
        <v>59</v>
      </c>
      <c r="B1" s="21" t="s">
        <v>67</v>
      </c>
      <c r="C1" s="21" t="s">
        <v>68</v>
      </c>
    </row>
    <row r="2" spans="1:3" x14ac:dyDescent="0.25">
      <c r="A2" s="39">
        <v>1</v>
      </c>
      <c r="B2" t="s">
        <v>36</v>
      </c>
      <c r="C2" t="s">
        <v>38</v>
      </c>
    </row>
    <row r="3" spans="1:3" x14ac:dyDescent="0.25">
      <c r="A3" s="39">
        <v>1</v>
      </c>
      <c r="B3" t="s">
        <v>36</v>
      </c>
      <c r="C3" t="s">
        <v>39</v>
      </c>
    </row>
    <row r="4" spans="1:3" x14ac:dyDescent="0.25">
      <c r="A4" s="39">
        <v>1</v>
      </c>
      <c r="B4" t="s">
        <v>36</v>
      </c>
      <c r="C4" t="s">
        <v>40</v>
      </c>
    </row>
    <row r="5" spans="1:3" x14ac:dyDescent="0.25">
      <c r="A5" s="39">
        <v>1</v>
      </c>
      <c r="B5" t="s">
        <v>36</v>
      </c>
      <c r="C5" t="s">
        <v>41</v>
      </c>
    </row>
    <row r="6" spans="1:3" x14ac:dyDescent="0.25">
      <c r="A6" s="39">
        <v>2</v>
      </c>
      <c r="B6" t="s">
        <v>36</v>
      </c>
      <c r="C6" t="s">
        <v>38</v>
      </c>
    </row>
    <row r="7" spans="1:3" x14ac:dyDescent="0.25">
      <c r="A7" s="39">
        <v>2</v>
      </c>
      <c r="B7" t="s">
        <v>36</v>
      </c>
      <c r="C7" t="s">
        <v>39</v>
      </c>
    </row>
    <row r="8" spans="1:3" x14ac:dyDescent="0.25">
      <c r="A8" s="39">
        <v>2</v>
      </c>
      <c r="B8" t="s">
        <v>36</v>
      </c>
      <c r="C8" t="s">
        <v>40</v>
      </c>
    </row>
    <row r="9" spans="1:3" x14ac:dyDescent="0.25">
      <c r="A9" s="39">
        <v>2</v>
      </c>
      <c r="B9" t="s">
        <v>36</v>
      </c>
      <c r="C9" t="s">
        <v>41</v>
      </c>
    </row>
    <row r="10" spans="1:3" x14ac:dyDescent="0.25">
      <c r="A10" s="39">
        <v>2</v>
      </c>
      <c r="B10" t="s">
        <v>36</v>
      </c>
      <c r="C10" t="s">
        <v>38</v>
      </c>
    </row>
    <row r="11" spans="1:3" x14ac:dyDescent="0.25">
      <c r="A11" s="39">
        <v>2</v>
      </c>
      <c r="B11" t="s">
        <v>31</v>
      </c>
      <c r="C11" t="s">
        <v>32</v>
      </c>
    </row>
    <row r="12" spans="1:3" x14ac:dyDescent="0.25">
      <c r="A12" s="39">
        <v>3</v>
      </c>
      <c r="B12" t="s">
        <v>34</v>
      </c>
      <c r="C12" t="s">
        <v>83</v>
      </c>
    </row>
    <row r="13" spans="1:3" x14ac:dyDescent="0.25">
      <c r="A13" s="39">
        <v>3</v>
      </c>
      <c r="B13" t="s">
        <v>105</v>
      </c>
      <c r="C13" t="s">
        <v>32</v>
      </c>
    </row>
    <row r="14" spans="1:3" x14ac:dyDescent="0.25">
      <c r="A14" s="39">
        <v>4</v>
      </c>
      <c r="B14" t="s">
        <v>36</v>
      </c>
      <c r="C14" t="s">
        <v>38</v>
      </c>
    </row>
    <row r="15" spans="1:3" x14ac:dyDescent="0.25">
      <c r="A15" s="39">
        <v>5</v>
      </c>
      <c r="B15" t="s">
        <v>36</v>
      </c>
      <c r="C15" t="s">
        <v>38</v>
      </c>
    </row>
    <row r="16" spans="1:3" x14ac:dyDescent="0.25">
      <c r="A16" s="39">
        <v>5</v>
      </c>
      <c r="B16" t="s">
        <v>36</v>
      </c>
      <c r="C16" t="s">
        <v>39</v>
      </c>
    </row>
    <row r="17" spans="1:3" x14ac:dyDescent="0.25">
      <c r="A17" s="39">
        <v>5</v>
      </c>
      <c r="B17" t="s">
        <v>36</v>
      </c>
      <c r="C17" t="s">
        <v>40</v>
      </c>
    </row>
    <row r="18" spans="1:3" x14ac:dyDescent="0.25">
      <c r="A18" s="39">
        <v>5</v>
      </c>
      <c r="B18" t="s">
        <v>36</v>
      </c>
      <c r="C18" t="s">
        <v>41</v>
      </c>
    </row>
    <row r="19" spans="1:3" x14ac:dyDescent="0.25">
      <c r="A19" s="39">
        <v>6</v>
      </c>
      <c r="B19" t="s">
        <v>35</v>
      </c>
      <c r="C19" t="s">
        <v>84</v>
      </c>
    </row>
    <row r="20" spans="1:3" x14ac:dyDescent="0.25">
      <c r="A20" s="39">
        <v>7</v>
      </c>
      <c r="B20" t="s">
        <v>36</v>
      </c>
      <c r="C20" t="s">
        <v>38</v>
      </c>
    </row>
    <row r="21" spans="1:3" x14ac:dyDescent="0.25">
      <c r="A21" s="39">
        <v>7</v>
      </c>
      <c r="B21" t="s">
        <v>36</v>
      </c>
      <c r="C21" t="s">
        <v>39</v>
      </c>
    </row>
    <row r="22" spans="1:3" x14ac:dyDescent="0.25">
      <c r="A22" s="39">
        <v>7</v>
      </c>
      <c r="B22" t="s">
        <v>36</v>
      </c>
      <c r="C22" t="s">
        <v>40</v>
      </c>
    </row>
    <row r="23" spans="1:3" x14ac:dyDescent="0.25">
      <c r="A23" s="39">
        <v>7</v>
      </c>
      <c r="B23" t="s">
        <v>36</v>
      </c>
      <c r="C23" t="s">
        <v>41</v>
      </c>
    </row>
    <row r="24" spans="1:3" x14ac:dyDescent="0.25">
      <c r="A24" s="39">
        <v>7</v>
      </c>
      <c r="B24" t="s">
        <v>37</v>
      </c>
      <c r="C24" t="s">
        <v>86</v>
      </c>
    </row>
    <row r="25" spans="1:3" x14ac:dyDescent="0.25">
      <c r="A25" s="39">
        <v>8</v>
      </c>
      <c r="B25" t="s">
        <v>36</v>
      </c>
      <c r="C25" t="s">
        <v>40</v>
      </c>
    </row>
    <row r="26" spans="1:3" x14ac:dyDescent="0.25">
      <c r="A26" s="39">
        <v>9</v>
      </c>
      <c r="B26" t="s">
        <v>52</v>
      </c>
      <c r="C26" t="s">
        <v>87</v>
      </c>
    </row>
    <row r="27" spans="1:3" x14ac:dyDescent="0.25">
      <c r="A27" s="39">
        <v>9</v>
      </c>
      <c r="B27" t="s">
        <v>35</v>
      </c>
      <c r="C27" t="s">
        <v>38</v>
      </c>
    </row>
    <row r="28" spans="1:3" x14ac:dyDescent="0.25">
      <c r="A28" s="39">
        <v>10</v>
      </c>
      <c r="B28" t="s">
        <v>36</v>
      </c>
      <c r="C28" t="s">
        <v>38</v>
      </c>
    </row>
    <row r="29" spans="1:3" x14ac:dyDescent="0.25">
      <c r="A29" s="39">
        <v>10</v>
      </c>
      <c r="B29" t="s">
        <v>36</v>
      </c>
      <c r="C29" t="s">
        <v>39</v>
      </c>
    </row>
    <row r="30" spans="1:3" x14ac:dyDescent="0.25">
      <c r="A30" s="39">
        <v>10</v>
      </c>
      <c r="B30" t="s">
        <v>36</v>
      </c>
      <c r="C30" t="s">
        <v>40</v>
      </c>
    </row>
    <row r="31" spans="1:3" x14ac:dyDescent="0.25">
      <c r="A31" s="39">
        <v>10</v>
      </c>
      <c r="B31" t="s">
        <v>36</v>
      </c>
      <c r="C31" t="s">
        <v>41</v>
      </c>
    </row>
    <row r="32" spans="1:3" x14ac:dyDescent="0.25">
      <c r="A32" s="39">
        <v>10</v>
      </c>
      <c r="B32" t="s">
        <v>52</v>
      </c>
      <c r="C32" t="s">
        <v>90</v>
      </c>
    </row>
    <row r="33" spans="1:3" x14ac:dyDescent="0.25">
      <c r="A33" s="39">
        <v>10</v>
      </c>
      <c r="B33" t="s">
        <v>37</v>
      </c>
      <c r="C33" t="s">
        <v>84</v>
      </c>
    </row>
    <row r="34" spans="1:3" x14ac:dyDescent="0.25">
      <c r="A34" s="39">
        <v>10</v>
      </c>
      <c r="B34" t="s">
        <v>37</v>
      </c>
      <c r="C34" t="s">
        <v>86</v>
      </c>
    </row>
    <row r="35" spans="1:3" x14ac:dyDescent="0.25">
      <c r="A35" s="39">
        <v>10</v>
      </c>
      <c r="B35" t="s">
        <v>37</v>
      </c>
      <c r="C35" t="s">
        <v>83</v>
      </c>
    </row>
    <row r="36" spans="1:3" x14ac:dyDescent="0.25">
      <c r="A36" s="39">
        <v>10</v>
      </c>
      <c r="B36" t="s">
        <v>37</v>
      </c>
      <c r="C36" t="s">
        <v>91</v>
      </c>
    </row>
    <row r="37" spans="1:3" x14ac:dyDescent="0.25">
      <c r="A37" s="39">
        <v>11</v>
      </c>
      <c r="B37" t="s">
        <v>37</v>
      </c>
      <c r="C37" t="s">
        <v>92</v>
      </c>
    </row>
    <row r="38" spans="1:3" x14ac:dyDescent="0.25">
      <c r="A38" s="39">
        <v>12</v>
      </c>
      <c r="B38" t="s">
        <v>36</v>
      </c>
      <c r="C38" t="s">
        <v>38</v>
      </c>
    </row>
    <row r="39" spans="1:3" x14ac:dyDescent="0.25">
      <c r="A39" s="39">
        <v>12</v>
      </c>
      <c r="B39" t="s">
        <v>36</v>
      </c>
      <c r="C39" t="s">
        <v>39</v>
      </c>
    </row>
    <row r="40" spans="1:3" x14ac:dyDescent="0.25">
      <c r="A40" s="39">
        <v>12</v>
      </c>
      <c r="B40" t="s">
        <v>36</v>
      </c>
      <c r="C40" t="s">
        <v>40</v>
      </c>
    </row>
    <row r="41" spans="1:3" x14ac:dyDescent="0.25">
      <c r="A41" s="39">
        <v>12</v>
      </c>
      <c r="B41" t="s">
        <v>36</v>
      </c>
      <c r="C41" t="s">
        <v>41</v>
      </c>
    </row>
    <row r="42" spans="1:3" x14ac:dyDescent="0.25">
      <c r="A42" s="39">
        <v>12</v>
      </c>
      <c r="B42" t="s">
        <v>52</v>
      </c>
      <c r="C42" t="s">
        <v>94</v>
      </c>
    </row>
    <row r="43" spans="1:3" x14ac:dyDescent="0.25">
      <c r="A43" s="39">
        <v>12</v>
      </c>
      <c r="B43" t="s">
        <v>52</v>
      </c>
      <c r="C43" t="s">
        <v>95</v>
      </c>
    </row>
    <row r="44" spans="1:3" x14ac:dyDescent="0.25">
      <c r="A44" s="39">
        <v>12</v>
      </c>
      <c r="B44" t="s">
        <v>52</v>
      </c>
      <c r="C44" t="s">
        <v>94</v>
      </c>
    </row>
    <row r="45" spans="1:3" x14ac:dyDescent="0.25">
      <c r="A45" s="39">
        <v>12</v>
      </c>
      <c r="B45" t="s">
        <v>52</v>
      </c>
      <c r="C45" t="s">
        <v>95</v>
      </c>
    </row>
    <row r="46" spans="1:3" x14ac:dyDescent="0.25">
      <c r="A46" s="39">
        <v>12</v>
      </c>
      <c r="B46" t="s">
        <v>52</v>
      </c>
      <c r="C46" t="s">
        <v>94</v>
      </c>
    </row>
    <row r="47" spans="1:3" x14ac:dyDescent="0.25">
      <c r="A47" s="39">
        <v>12</v>
      </c>
      <c r="B47" t="s">
        <v>52</v>
      </c>
      <c r="C47" t="s">
        <v>95</v>
      </c>
    </row>
    <row r="48" spans="1:3" x14ac:dyDescent="0.25">
      <c r="A48" s="39">
        <v>13</v>
      </c>
      <c r="B48" t="s">
        <v>37</v>
      </c>
      <c r="C48" t="s">
        <v>98</v>
      </c>
    </row>
    <row r="49" spans="1:3" x14ac:dyDescent="0.25">
      <c r="A49" s="39">
        <v>13</v>
      </c>
      <c r="B49" t="s">
        <v>37</v>
      </c>
      <c r="C49" t="s">
        <v>99</v>
      </c>
    </row>
    <row r="50" spans="1:3" x14ac:dyDescent="0.25">
      <c r="A50" s="39">
        <v>13</v>
      </c>
      <c r="B50" t="s">
        <v>37</v>
      </c>
      <c r="C50" t="s">
        <v>98</v>
      </c>
    </row>
    <row r="51" spans="1:3" x14ac:dyDescent="0.25">
      <c r="A51" s="39">
        <v>13</v>
      </c>
      <c r="B51" t="s">
        <v>37</v>
      </c>
      <c r="C51" t="s">
        <v>86</v>
      </c>
    </row>
    <row r="52" spans="1:3" x14ac:dyDescent="0.25">
      <c r="A52" s="39">
        <v>13</v>
      </c>
      <c r="B52" t="s">
        <v>37</v>
      </c>
      <c r="C52" t="s">
        <v>86</v>
      </c>
    </row>
    <row r="53" spans="1:3" x14ac:dyDescent="0.25">
      <c r="A53" s="39">
        <v>13</v>
      </c>
      <c r="B53" t="s">
        <v>37</v>
      </c>
      <c r="C53" t="s">
        <v>84</v>
      </c>
    </row>
    <row r="54" spans="1:3" x14ac:dyDescent="0.25">
      <c r="A54" s="39">
        <v>14</v>
      </c>
      <c r="B54" t="s">
        <v>37</v>
      </c>
      <c r="C54" t="s">
        <v>98</v>
      </c>
    </row>
    <row r="55" spans="1:3" x14ac:dyDescent="0.25">
      <c r="A55" s="39">
        <v>14</v>
      </c>
      <c r="B55" t="s">
        <v>37</v>
      </c>
      <c r="C55" t="s">
        <v>83</v>
      </c>
    </row>
    <row r="56" spans="1:3" x14ac:dyDescent="0.25">
      <c r="A56" s="39">
        <v>14</v>
      </c>
      <c r="B56" t="s">
        <v>37</v>
      </c>
      <c r="C56" t="s">
        <v>91</v>
      </c>
    </row>
    <row r="57" spans="1:3" x14ac:dyDescent="0.25">
      <c r="A57" s="39">
        <v>14</v>
      </c>
      <c r="B57" t="s">
        <v>37</v>
      </c>
      <c r="C57" t="s">
        <v>92</v>
      </c>
    </row>
    <row r="58" spans="1:3" x14ac:dyDescent="0.25">
      <c r="A58" s="39">
        <v>14</v>
      </c>
      <c r="B58" t="s">
        <v>37</v>
      </c>
      <c r="C58" t="s">
        <v>98</v>
      </c>
    </row>
    <row r="59" spans="1:3" x14ac:dyDescent="0.25">
      <c r="A59" s="39">
        <v>14</v>
      </c>
      <c r="B59" t="s">
        <v>37</v>
      </c>
      <c r="C59" t="s">
        <v>101</v>
      </c>
    </row>
    <row r="60" spans="1:3" x14ac:dyDescent="0.25">
      <c r="A60" s="39">
        <v>14</v>
      </c>
      <c r="B60" t="s">
        <v>37</v>
      </c>
      <c r="C60" t="s">
        <v>83</v>
      </c>
    </row>
    <row r="61" spans="1:3" x14ac:dyDescent="0.25">
      <c r="A61" s="39">
        <v>14</v>
      </c>
      <c r="B61" t="s">
        <v>37</v>
      </c>
      <c r="C61" t="s">
        <v>91</v>
      </c>
    </row>
    <row r="62" spans="1:3" x14ac:dyDescent="0.25">
      <c r="A62" s="39">
        <v>14</v>
      </c>
      <c r="B62" t="s">
        <v>37</v>
      </c>
      <c r="C62" t="s">
        <v>98</v>
      </c>
    </row>
    <row r="63" spans="1:3" x14ac:dyDescent="0.25">
      <c r="A63" s="39">
        <v>14</v>
      </c>
      <c r="B63" t="s">
        <v>37</v>
      </c>
      <c r="C63" t="s">
        <v>98</v>
      </c>
    </row>
    <row r="64" spans="1:3" x14ac:dyDescent="0.25">
      <c r="A64" s="39">
        <v>14</v>
      </c>
      <c r="B64" t="s">
        <v>37</v>
      </c>
      <c r="C64" t="s">
        <v>84</v>
      </c>
    </row>
    <row r="65" spans="1:3" x14ac:dyDescent="0.25">
      <c r="A65" s="39">
        <v>15</v>
      </c>
      <c r="B65" t="s">
        <v>36</v>
      </c>
      <c r="C65" t="s">
        <v>38</v>
      </c>
    </row>
    <row r="66" spans="1:3" x14ac:dyDescent="0.25">
      <c r="A66" s="39">
        <v>15</v>
      </c>
      <c r="B66" t="s">
        <v>36</v>
      </c>
      <c r="C66" t="s">
        <v>39</v>
      </c>
    </row>
    <row r="67" spans="1:3" x14ac:dyDescent="0.25">
      <c r="A67" s="39">
        <v>15</v>
      </c>
      <c r="B67" t="s">
        <v>36</v>
      </c>
      <c r="C67" t="s">
        <v>40</v>
      </c>
    </row>
    <row r="68" spans="1:3" x14ac:dyDescent="0.25">
      <c r="A68" s="39">
        <v>15</v>
      </c>
      <c r="B68" t="s">
        <v>36</v>
      </c>
      <c r="C68" t="s">
        <v>41</v>
      </c>
    </row>
    <row r="69" spans="1:3" x14ac:dyDescent="0.25">
      <c r="A69" s="39">
        <v>15</v>
      </c>
      <c r="B69" t="s">
        <v>31</v>
      </c>
      <c r="C69" t="s">
        <v>33</v>
      </c>
    </row>
    <row r="70" spans="1:3" x14ac:dyDescent="0.25">
      <c r="A70" s="39">
        <v>15</v>
      </c>
      <c r="B70" t="s">
        <v>105</v>
      </c>
      <c r="C70" t="s">
        <v>32</v>
      </c>
    </row>
    <row r="71" spans="1:3" x14ac:dyDescent="0.25">
      <c r="A71" s="39">
        <v>15</v>
      </c>
      <c r="B71" t="s">
        <v>31</v>
      </c>
      <c r="C71" t="s">
        <v>33</v>
      </c>
    </row>
    <row r="72" spans="1:3" x14ac:dyDescent="0.25">
      <c r="A72" s="39">
        <v>16</v>
      </c>
      <c r="B72" t="s">
        <v>35</v>
      </c>
      <c r="C72" t="s">
        <v>41</v>
      </c>
    </row>
    <row r="73" spans="1:3" x14ac:dyDescent="0.25">
      <c r="A73" s="39">
        <v>16</v>
      </c>
      <c r="B73" t="s">
        <v>31</v>
      </c>
      <c r="C73" t="s">
        <v>33</v>
      </c>
    </row>
    <row r="74" spans="1:3" x14ac:dyDescent="0.25">
      <c r="A74" s="39">
        <v>17</v>
      </c>
      <c r="B74" t="s">
        <v>52</v>
      </c>
      <c r="C74" t="s">
        <v>87</v>
      </c>
    </row>
    <row r="75" spans="1:3" x14ac:dyDescent="0.25">
      <c r="A75" s="39">
        <v>17</v>
      </c>
      <c r="B75" t="s">
        <v>52</v>
      </c>
      <c r="C75" t="s">
        <v>87</v>
      </c>
    </row>
    <row r="76" spans="1:3" x14ac:dyDescent="0.25">
      <c r="A76" s="39">
        <v>17</v>
      </c>
      <c r="B76" t="s">
        <v>52</v>
      </c>
      <c r="C76" t="s">
        <v>90</v>
      </c>
    </row>
    <row r="77" spans="1:3" x14ac:dyDescent="0.25">
      <c r="A77" s="39">
        <v>17</v>
      </c>
      <c r="B77" t="s">
        <v>52</v>
      </c>
      <c r="C77" t="s">
        <v>94</v>
      </c>
    </row>
    <row r="78" spans="1:3" x14ac:dyDescent="0.25">
      <c r="A78" s="39">
        <v>17</v>
      </c>
      <c r="B78" t="s">
        <v>52</v>
      </c>
      <c r="C78" t="s">
        <v>95</v>
      </c>
    </row>
    <row r="79" spans="1:3" x14ac:dyDescent="0.25">
      <c r="A79" s="39">
        <v>18</v>
      </c>
      <c r="B79" t="s">
        <v>34</v>
      </c>
      <c r="C79" t="s">
        <v>84</v>
      </c>
    </row>
    <row r="80" spans="1:3" x14ac:dyDescent="0.25">
      <c r="A80" s="39">
        <v>18</v>
      </c>
      <c r="B80" t="s">
        <v>34</v>
      </c>
      <c r="C80" t="s">
        <v>86</v>
      </c>
    </row>
    <row r="81" spans="1:3" x14ac:dyDescent="0.25">
      <c r="A81" s="39">
        <v>18</v>
      </c>
      <c r="B81" t="s">
        <v>34</v>
      </c>
      <c r="C81" t="s">
        <v>83</v>
      </c>
    </row>
    <row r="82" spans="1:3" x14ac:dyDescent="0.25">
      <c r="A82" s="39">
        <v>18</v>
      </c>
      <c r="B82" t="s">
        <v>34</v>
      </c>
      <c r="C82" t="s">
        <v>84</v>
      </c>
    </row>
    <row r="83" spans="1:3" x14ac:dyDescent="0.25">
      <c r="A83" s="39">
        <v>18</v>
      </c>
      <c r="B83" t="s">
        <v>34</v>
      </c>
      <c r="C83" t="s">
        <v>86</v>
      </c>
    </row>
    <row r="84" spans="1:3" x14ac:dyDescent="0.25">
      <c r="A84" s="39">
        <v>18</v>
      </c>
      <c r="B84" t="s">
        <v>34</v>
      </c>
      <c r="C84" t="s">
        <v>83</v>
      </c>
    </row>
    <row r="85" spans="1:3" x14ac:dyDescent="0.25">
      <c r="A85" s="39">
        <v>18</v>
      </c>
      <c r="B85" t="s">
        <v>31</v>
      </c>
      <c r="C85" t="s">
        <v>32</v>
      </c>
    </row>
    <row r="86" spans="1:3" x14ac:dyDescent="0.25">
      <c r="A86" s="39">
        <v>19</v>
      </c>
      <c r="B86" t="s">
        <v>36</v>
      </c>
      <c r="C86" t="s">
        <v>38</v>
      </c>
    </row>
    <row r="87" spans="1:3" x14ac:dyDescent="0.25">
      <c r="A87" s="39">
        <v>19</v>
      </c>
      <c r="B87" t="s">
        <v>36</v>
      </c>
      <c r="C87" t="s">
        <v>39</v>
      </c>
    </row>
    <row r="88" spans="1:3" x14ac:dyDescent="0.25">
      <c r="A88" s="39">
        <v>19</v>
      </c>
      <c r="B88" t="s">
        <v>36</v>
      </c>
      <c r="C88" t="s">
        <v>40</v>
      </c>
    </row>
    <row r="89" spans="1:3" x14ac:dyDescent="0.25">
      <c r="A89" s="39">
        <v>19</v>
      </c>
      <c r="B89" t="s">
        <v>36</v>
      </c>
      <c r="C89" t="s">
        <v>41</v>
      </c>
    </row>
    <row r="90" spans="1:3" x14ac:dyDescent="0.25">
      <c r="A90" s="39">
        <v>19</v>
      </c>
      <c r="B90" t="s">
        <v>31</v>
      </c>
      <c r="C90" t="s">
        <v>33</v>
      </c>
    </row>
    <row r="91" spans="1:3" x14ac:dyDescent="0.25">
      <c r="A91" s="39">
        <v>20</v>
      </c>
      <c r="B91" t="s">
        <v>36</v>
      </c>
      <c r="C91" t="s">
        <v>38</v>
      </c>
    </row>
    <row r="92" spans="1:3" x14ac:dyDescent="0.25">
      <c r="A92" s="39">
        <v>20</v>
      </c>
      <c r="B92" t="s">
        <v>36</v>
      </c>
      <c r="C92" t="s">
        <v>39</v>
      </c>
    </row>
    <row r="93" spans="1:3" x14ac:dyDescent="0.25">
      <c r="A93" s="39">
        <v>20</v>
      </c>
      <c r="B93" t="s">
        <v>36</v>
      </c>
      <c r="C93" t="s">
        <v>40</v>
      </c>
    </row>
    <row r="94" spans="1:3" x14ac:dyDescent="0.25">
      <c r="A94" s="39">
        <v>20</v>
      </c>
      <c r="B94" t="s">
        <v>36</v>
      </c>
      <c r="C94" t="s">
        <v>41</v>
      </c>
    </row>
    <row r="95" spans="1:3" x14ac:dyDescent="0.25">
      <c r="A95" s="39">
        <v>20</v>
      </c>
      <c r="B95" t="s">
        <v>34</v>
      </c>
      <c r="C95" t="s">
        <v>84</v>
      </c>
    </row>
    <row r="96" spans="1:3" x14ac:dyDescent="0.25">
      <c r="A96" s="39">
        <v>20</v>
      </c>
      <c r="B96" t="s">
        <v>31</v>
      </c>
      <c r="C96" t="s">
        <v>32</v>
      </c>
    </row>
    <row r="97" spans="1:3" x14ac:dyDescent="0.25">
      <c r="A97" s="39">
        <v>21</v>
      </c>
      <c r="B97" t="s">
        <v>36</v>
      </c>
      <c r="C97" t="s">
        <v>38</v>
      </c>
    </row>
    <row r="98" spans="1:3" x14ac:dyDescent="0.25">
      <c r="A98" s="39">
        <v>21</v>
      </c>
      <c r="B98" t="s">
        <v>36</v>
      </c>
      <c r="C98" t="s">
        <v>39</v>
      </c>
    </row>
    <row r="99" spans="1:3" x14ac:dyDescent="0.25">
      <c r="A99" s="39">
        <v>21</v>
      </c>
      <c r="B99" t="s">
        <v>36</v>
      </c>
      <c r="C99" t="s">
        <v>40</v>
      </c>
    </row>
    <row r="100" spans="1:3" x14ac:dyDescent="0.25">
      <c r="A100" s="39">
        <v>21</v>
      </c>
      <c r="B100" t="s">
        <v>36</v>
      </c>
      <c r="C100" t="s">
        <v>41</v>
      </c>
    </row>
    <row r="101" spans="1:3" x14ac:dyDescent="0.25">
      <c r="A101" s="39">
        <v>21</v>
      </c>
      <c r="B101" t="s">
        <v>105</v>
      </c>
      <c r="C101" t="s">
        <v>33</v>
      </c>
    </row>
    <row r="102" spans="1:3" x14ac:dyDescent="0.25">
      <c r="A102" s="39">
        <v>21</v>
      </c>
      <c r="B102" t="s">
        <v>105</v>
      </c>
      <c r="C102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RempLinAbajo">
                <anchor moveWithCells="1" sizeWithCells="1">
                  <from>
                    <xdr:col>4</xdr:col>
                    <xdr:colOff>66675</xdr:colOff>
                    <xdr:row>0</xdr:row>
                    <xdr:rowOff>76200</xdr:rowOff>
                  </from>
                  <to>
                    <xdr:col>5</xdr:col>
                    <xdr:colOff>666750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6A9AF-CAE6-4048-B8A2-A88BE691FB5A}">
  <sheetPr codeName="Hoja6"/>
  <dimension ref="B1:AA15"/>
  <sheetViews>
    <sheetView workbookViewId="0">
      <selection activeCell="H7" sqref="H7"/>
    </sheetView>
  </sheetViews>
  <sheetFormatPr baseColWidth="10" defaultRowHeight="15" x14ac:dyDescent="0.25"/>
  <cols>
    <col min="2" max="2" width="24.28515625" bestFit="1" customWidth="1"/>
    <col min="3" max="3" width="23.7109375" bestFit="1" customWidth="1"/>
    <col min="4" max="4" width="11.28515625" customWidth="1"/>
    <col min="5" max="5" width="11.42578125" customWidth="1"/>
    <col min="6" max="6" width="17.5703125" bestFit="1" customWidth="1"/>
    <col min="7" max="7" width="25.28515625" bestFit="1" customWidth="1"/>
    <col min="8" max="9" width="12.5703125" bestFit="1" customWidth="1"/>
    <col min="10" max="10" width="17.5703125" bestFit="1" customWidth="1"/>
    <col min="11" max="11" width="25.28515625" bestFit="1" customWidth="1"/>
    <col min="14" max="14" width="17.5703125" bestFit="1" customWidth="1"/>
    <col min="15" max="15" width="25.28515625" bestFit="1" customWidth="1"/>
    <col min="18" max="18" width="17.5703125" bestFit="1" customWidth="1"/>
    <col min="19" max="19" width="20.7109375" bestFit="1" customWidth="1"/>
    <col min="22" max="22" width="17.5703125" bestFit="1" customWidth="1"/>
    <col min="23" max="23" width="25.28515625" bestFit="1" customWidth="1"/>
    <col min="24" max="24" width="12.5703125" bestFit="1" customWidth="1"/>
    <col min="26" max="26" width="18.140625" bestFit="1" customWidth="1"/>
    <col min="27" max="27" width="20.7109375" bestFit="1" customWidth="1"/>
    <col min="28" max="28" width="5.42578125" bestFit="1" customWidth="1"/>
    <col min="29" max="29" width="10.28515625" bestFit="1" customWidth="1"/>
    <col min="30" max="30" width="7.42578125" bestFit="1" customWidth="1"/>
    <col min="31" max="32" width="12.5703125" bestFit="1" customWidth="1"/>
  </cols>
  <sheetData>
    <row r="1" spans="2:27" x14ac:dyDescent="0.25">
      <c r="F1" t="s">
        <v>78</v>
      </c>
      <c r="J1" t="s">
        <v>79</v>
      </c>
      <c r="N1" t="s">
        <v>80</v>
      </c>
      <c r="V1" t="s">
        <v>31</v>
      </c>
      <c r="Z1" t="s">
        <v>82</v>
      </c>
    </row>
    <row r="3" spans="2:27" x14ac:dyDescent="0.25">
      <c r="B3" s="27" t="s">
        <v>70</v>
      </c>
      <c r="C3" t="s">
        <v>72</v>
      </c>
      <c r="F3" s="27" t="s">
        <v>70</v>
      </c>
      <c r="G3" t="s">
        <v>75</v>
      </c>
      <c r="J3" s="27" t="s">
        <v>70</v>
      </c>
      <c r="K3" t="s">
        <v>75</v>
      </c>
      <c r="N3" s="27" t="s">
        <v>70</v>
      </c>
      <c r="O3" t="s">
        <v>75</v>
      </c>
      <c r="R3" s="27" t="s">
        <v>70</v>
      </c>
      <c r="S3" t="s">
        <v>76</v>
      </c>
      <c r="V3" s="27" t="s">
        <v>70</v>
      </c>
      <c r="W3" t="s">
        <v>75</v>
      </c>
      <c r="Z3" s="27" t="s">
        <v>70</v>
      </c>
      <c r="AA3" t="s">
        <v>76</v>
      </c>
    </row>
    <row r="4" spans="2:27" x14ac:dyDescent="0.25">
      <c r="B4" s="28" t="s">
        <v>31</v>
      </c>
      <c r="C4" s="29">
        <v>7</v>
      </c>
      <c r="F4" s="28" t="s">
        <v>39</v>
      </c>
      <c r="G4" s="29">
        <v>10</v>
      </c>
      <c r="J4" s="28" t="s">
        <v>98</v>
      </c>
      <c r="K4" s="29">
        <v>6</v>
      </c>
      <c r="N4" s="28" t="s">
        <v>95</v>
      </c>
      <c r="O4" s="29">
        <v>4</v>
      </c>
      <c r="R4" s="28" t="s">
        <v>81</v>
      </c>
      <c r="S4" s="29">
        <v>3</v>
      </c>
      <c r="V4" s="28" t="s">
        <v>31</v>
      </c>
      <c r="W4" s="29"/>
      <c r="Z4" s="28" t="s">
        <v>105</v>
      </c>
      <c r="AA4" s="29"/>
    </row>
    <row r="5" spans="2:27" x14ac:dyDescent="0.25">
      <c r="B5" s="28" t="s">
        <v>105</v>
      </c>
      <c r="C5" s="29">
        <v>4</v>
      </c>
      <c r="F5" s="28" t="s">
        <v>40</v>
      </c>
      <c r="G5" s="29">
        <v>11</v>
      </c>
      <c r="J5" s="28" t="s">
        <v>101</v>
      </c>
      <c r="K5" s="29">
        <v>1</v>
      </c>
      <c r="N5" s="28" t="s">
        <v>87</v>
      </c>
      <c r="O5" s="29">
        <v>3</v>
      </c>
      <c r="R5" s="28" t="s">
        <v>88</v>
      </c>
      <c r="S5" s="29">
        <v>1</v>
      </c>
      <c r="V5" s="41" t="s">
        <v>32</v>
      </c>
      <c r="W5" s="29">
        <v>3</v>
      </c>
      <c r="Z5" s="41" t="s">
        <v>32</v>
      </c>
      <c r="AA5" s="29">
        <v>2</v>
      </c>
    </row>
    <row r="6" spans="2:27" x14ac:dyDescent="0.25">
      <c r="B6" s="28" t="s">
        <v>37</v>
      </c>
      <c r="C6" s="29">
        <v>23</v>
      </c>
      <c r="F6" s="28" t="s">
        <v>41</v>
      </c>
      <c r="G6" s="29">
        <v>11</v>
      </c>
      <c r="J6" s="28" t="s">
        <v>91</v>
      </c>
      <c r="K6" s="29">
        <v>3</v>
      </c>
      <c r="N6" s="28" t="s">
        <v>90</v>
      </c>
      <c r="O6" s="29">
        <v>2</v>
      </c>
      <c r="R6" s="28" t="s">
        <v>104</v>
      </c>
      <c r="S6" s="29">
        <v>1</v>
      </c>
      <c r="V6" s="41" t="s">
        <v>33</v>
      </c>
      <c r="W6" s="29">
        <v>4</v>
      </c>
      <c r="Z6" s="41" t="s">
        <v>33</v>
      </c>
      <c r="AA6" s="29">
        <v>2</v>
      </c>
    </row>
    <row r="7" spans="2:27" x14ac:dyDescent="0.25">
      <c r="B7" s="28" t="s">
        <v>52</v>
      </c>
      <c r="C7" s="29">
        <v>13</v>
      </c>
      <c r="F7" s="28" t="s">
        <v>38</v>
      </c>
      <c r="G7" s="29">
        <v>13</v>
      </c>
      <c r="J7" s="28" t="s">
        <v>86</v>
      </c>
      <c r="K7" s="29">
        <v>6</v>
      </c>
      <c r="N7" s="28" t="s">
        <v>94</v>
      </c>
      <c r="O7" s="29">
        <v>4</v>
      </c>
      <c r="R7" s="28" t="s">
        <v>77</v>
      </c>
      <c r="S7" s="29">
        <v>5</v>
      </c>
      <c r="V7" s="28" t="s">
        <v>71</v>
      </c>
      <c r="W7" s="29">
        <v>7</v>
      </c>
      <c r="Z7" s="28" t="s">
        <v>71</v>
      </c>
      <c r="AA7" s="29">
        <v>4</v>
      </c>
    </row>
    <row r="8" spans="2:27" x14ac:dyDescent="0.25">
      <c r="B8" s="28" t="s">
        <v>36</v>
      </c>
      <c r="C8" s="29">
        <v>43</v>
      </c>
      <c r="F8" s="28" t="s">
        <v>71</v>
      </c>
      <c r="G8" s="29">
        <v>45</v>
      </c>
      <c r="J8" s="28" t="s">
        <v>83</v>
      </c>
      <c r="K8" s="29">
        <v>6</v>
      </c>
      <c r="N8" s="28" t="s">
        <v>71</v>
      </c>
      <c r="O8" s="29">
        <v>13</v>
      </c>
      <c r="R8" s="28" t="s">
        <v>102</v>
      </c>
      <c r="S8" s="29">
        <v>2</v>
      </c>
    </row>
    <row r="9" spans="2:27" x14ac:dyDescent="0.25">
      <c r="B9" s="28" t="s">
        <v>34</v>
      </c>
      <c r="C9" s="29">
        <v>8</v>
      </c>
      <c r="J9" s="28" t="s">
        <v>99</v>
      </c>
      <c r="K9" s="29">
        <v>1</v>
      </c>
      <c r="R9" s="28" t="s">
        <v>103</v>
      </c>
      <c r="S9" s="29">
        <v>1</v>
      </c>
    </row>
    <row r="10" spans="2:27" x14ac:dyDescent="0.25">
      <c r="B10" s="28" t="s">
        <v>35</v>
      </c>
      <c r="C10" s="29">
        <v>3</v>
      </c>
      <c r="J10" s="28" t="s">
        <v>84</v>
      </c>
      <c r="K10" s="29">
        <v>7</v>
      </c>
      <c r="R10" s="28" t="s">
        <v>97</v>
      </c>
      <c r="S10" s="29">
        <v>1</v>
      </c>
    </row>
    <row r="11" spans="2:27" x14ac:dyDescent="0.25">
      <c r="B11" s="28" t="s">
        <v>71</v>
      </c>
      <c r="C11" s="29">
        <v>101</v>
      </c>
      <c r="J11" s="28" t="s">
        <v>92</v>
      </c>
      <c r="K11" s="29">
        <v>2</v>
      </c>
      <c r="R11" s="28" t="s">
        <v>93</v>
      </c>
      <c r="S11" s="29">
        <v>1</v>
      </c>
    </row>
    <row r="12" spans="2:27" x14ac:dyDescent="0.25">
      <c r="J12" s="28" t="s">
        <v>71</v>
      </c>
      <c r="K12" s="29">
        <v>32</v>
      </c>
      <c r="R12" s="28" t="s">
        <v>89</v>
      </c>
      <c r="S12" s="29">
        <v>2</v>
      </c>
    </row>
    <row r="13" spans="2:27" x14ac:dyDescent="0.25">
      <c r="R13" s="28" t="s">
        <v>100</v>
      </c>
      <c r="S13" s="29">
        <v>2</v>
      </c>
    </row>
    <row r="14" spans="2:27" x14ac:dyDescent="0.25">
      <c r="R14" s="28" t="s">
        <v>85</v>
      </c>
      <c r="S14" s="29">
        <v>2</v>
      </c>
    </row>
    <row r="15" spans="2:27" x14ac:dyDescent="0.25">
      <c r="R15" s="28" t="s">
        <v>71</v>
      </c>
      <c r="S15" s="29">
        <v>21</v>
      </c>
    </row>
  </sheetData>
  <pageMargins left="0.7" right="0.7" top="0.75" bottom="0.75" header="0.3" footer="0.3"/>
  <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8A309-96F6-4F6C-AC27-D06F6A54F0B1}"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2836C-7688-409E-89EF-13CC4533AE5F}">
  <sheetPr codeName="Hoja7"/>
  <dimension ref="A1:H5"/>
  <sheetViews>
    <sheetView workbookViewId="0">
      <selection activeCell="B10" sqref="B10"/>
    </sheetView>
  </sheetViews>
  <sheetFormatPr baseColWidth="10" defaultRowHeight="15" x14ac:dyDescent="0.25"/>
  <cols>
    <col min="1" max="1" width="24.28515625" bestFit="1" customWidth="1"/>
    <col min="2" max="2" width="22.7109375" bestFit="1" customWidth="1"/>
    <col min="3" max="3" width="23.5703125" bestFit="1" customWidth="1"/>
    <col min="4" max="4" width="7.5703125" bestFit="1" customWidth="1"/>
    <col min="5" max="5" width="16.28515625" bestFit="1" customWidth="1"/>
    <col min="6" max="6" width="17.7109375" bestFit="1" customWidth="1"/>
    <col min="7" max="7" width="16.140625" bestFit="1" customWidth="1"/>
    <col min="8" max="8" width="16.7109375" bestFit="1" customWidth="1"/>
  </cols>
  <sheetData>
    <row r="1" spans="1:8" s="21" customFormat="1" x14ac:dyDescent="0.25">
      <c r="A1" s="23" t="s">
        <v>49</v>
      </c>
      <c r="B1" s="23" t="s">
        <v>37</v>
      </c>
      <c r="C1" s="23" t="s">
        <v>52</v>
      </c>
      <c r="D1" s="23" t="s">
        <v>31</v>
      </c>
      <c r="E1" s="23" t="s">
        <v>50</v>
      </c>
      <c r="F1" s="23" t="s">
        <v>35</v>
      </c>
      <c r="G1" s="23" t="s">
        <v>34</v>
      </c>
      <c r="H1" s="23" t="s">
        <v>53</v>
      </c>
    </row>
    <row r="2" spans="1:8" x14ac:dyDescent="0.25">
      <c r="A2" s="22" t="s">
        <v>38</v>
      </c>
      <c r="D2" s="22" t="s">
        <v>32</v>
      </c>
      <c r="E2" s="22" t="s">
        <v>32</v>
      </c>
    </row>
    <row r="3" spans="1:8" x14ac:dyDescent="0.25">
      <c r="A3" s="22" t="s">
        <v>39</v>
      </c>
      <c r="D3" s="22" t="s">
        <v>33</v>
      </c>
      <c r="E3" s="22" t="s">
        <v>33</v>
      </c>
    </row>
    <row r="4" spans="1:8" x14ac:dyDescent="0.25">
      <c r="A4" s="22" t="s">
        <v>40</v>
      </c>
    </row>
    <row r="5" spans="1:8" x14ac:dyDescent="0.25">
      <c r="A5" s="22" t="s">
        <v>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BAF0135-9D6A-4464-BA21-4DC0CCF646BE}">
  <ds:schemaRefs/>
</ds:datastoreItem>
</file>

<file path=customXml/itemProps2.xml><?xml version="1.0" encoding="utf-8"?>
<ds:datastoreItem xmlns:ds="http://schemas.openxmlformats.org/officeDocument/2006/customXml" ds:itemID="{5C800316-2EA8-488D-98CC-23FB6F1C1E90}">
  <ds:schemaRefs/>
</ds:datastoreItem>
</file>

<file path=customXml/itemProps3.xml><?xml version="1.0" encoding="utf-8"?>
<ds:datastoreItem xmlns:ds="http://schemas.openxmlformats.org/officeDocument/2006/customXml" ds:itemID="{0ABA900B-BD93-4715-BAFD-92CA41A18EC7}">
  <ds:schemaRefs/>
</ds:datastoreItem>
</file>

<file path=customXml/itemProps4.xml><?xml version="1.0" encoding="utf-8"?>
<ds:datastoreItem xmlns:ds="http://schemas.openxmlformats.org/officeDocument/2006/customXml" ds:itemID="{24A1DF5D-F126-4259-9616-D8F00A3F5C05}">
  <ds:schemaRefs/>
</ds:datastoreItem>
</file>

<file path=customXml/itemProps5.xml><?xml version="1.0" encoding="utf-8"?>
<ds:datastoreItem xmlns:ds="http://schemas.openxmlformats.org/officeDocument/2006/customXml" ds:itemID="{25802238-979B-487A-8ADE-4FD0700B94AB}">
  <ds:schemaRefs/>
</ds:datastoreItem>
</file>

<file path=customXml/itemProps6.xml><?xml version="1.0" encoding="utf-8"?>
<ds:datastoreItem xmlns:ds="http://schemas.openxmlformats.org/officeDocument/2006/customXml" ds:itemID="{8E4D187D-DEA7-4918-AF2A-8B1097F35862}">
  <ds:schemaRefs/>
</ds:datastoreItem>
</file>

<file path=customXml/itemProps7.xml><?xml version="1.0" encoding="utf-8"?>
<ds:datastoreItem xmlns:ds="http://schemas.openxmlformats.org/officeDocument/2006/customXml" ds:itemID="{1EEDC00E-8E46-4A8E-A0BA-2F0BE94ACA30}">
  <ds:schemaRefs/>
</ds:datastoreItem>
</file>

<file path=customXml/itemProps8.xml><?xml version="1.0" encoding="utf-8"?>
<ds:datastoreItem xmlns:ds="http://schemas.openxmlformats.org/officeDocument/2006/customXml" ds:itemID="{314EB03D-5FAB-4E99-883D-1C2B1ED15D42}">
  <ds:schemaRefs/>
</ds:datastoreItem>
</file>

<file path=customXml/itemProps9.xml><?xml version="1.0" encoding="utf-8"?>
<ds:datastoreItem xmlns:ds="http://schemas.openxmlformats.org/officeDocument/2006/customXml" ds:itemID="{9293DD2A-6C23-418A-B42E-1F625DAC4B95}">
  <ds:schemaRefs/>
</ds:datastoreItem>
</file>

<file path=customXml/itemProps10.xml><?xml version="1.0" encoding="utf-8"?>
<ds:datastoreItem xmlns:ds="http://schemas.openxmlformats.org/officeDocument/2006/customXml" ds:itemID="{941242CC-31BD-487B-8660-D5768CC120A9}">
  <ds:schemaRefs/>
</ds:datastoreItem>
</file>

<file path=customXml/itemProps11.xml><?xml version="1.0" encoding="utf-8"?>
<ds:datastoreItem xmlns:ds="http://schemas.openxmlformats.org/officeDocument/2006/customXml" ds:itemID="{D6A41484-FB3F-4EE8-B236-91FEC10F95DD}">
  <ds:schemaRefs/>
</ds:datastoreItem>
</file>

<file path=customXml/itemProps12.xml><?xml version="1.0" encoding="utf-8"?>
<ds:datastoreItem xmlns:ds="http://schemas.openxmlformats.org/officeDocument/2006/customXml" ds:itemID="{B20F233B-489A-43D3-82DE-CA5951DEDC0B}">
  <ds:schemaRefs/>
</ds:datastoreItem>
</file>

<file path=customXml/itemProps13.xml><?xml version="1.0" encoding="utf-8"?>
<ds:datastoreItem xmlns:ds="http://schemas.openxmlformats.org/officeDocument/2006/customXml" ds:itemID="{ECEDEA20-CB9B-4505-8E37-032FB846B641}">
  <ds:schemaRefs/>
</ds:datastoreItem>
</file>

<file path=customXml/itemProps14.xml><?xml version="1.0" encoding="utf-8"?>
<ds:datastoreItem xmlns:ds="http://schemas.openxmlformats.org/officeDocument/2006/customXml" ds:itemID="{054725BA-7195-4379-A3C0-DAD841A987FA}">
  <ds:schemaRefs/>
</ds:datastoreItem>
</file>

<file path=customXml/itemProps15.xml><?xml version="1.0" encoding="utf-8"?>
<ds:datastoreItem xmlns:ds="http://schemas.openxmlformats.org/officeDocument/2006/customXml" ds:itemID="{7F414A87-8746-4E07-AB59-BB536C64F515}">
  <ds:schemaRefs/>
</ds:datastoreItem>
</file>

<file path=customXml/itemProps16.xml><?xml version="1.0" encoding="utf-8"?>
<ds:datastoreItem xmlns:ds="http://schemas.openxmlformats.org/officeDocument/2006/customXml" ds:itemID="{29A2D2C1-FC4F-4424-84A5-3803ADFC04A2}">
  <ds:schemaRefs/>
</ds:datastoreItem>
</file>

<file path=customXml/itemProps17.xml><?xml version="1.0" encoding="utf-8"?>
<ds:datastoreItem xmlns:ds="http://schemas.openxmlformats.org/officeDocument/2006/customXml" ds:itemID="{9F7104B5-2D71-4AAA-A5A2-B52A1831EE6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Registro</vt:lpstr>
      <vt:lpstr>Calculadora</vt:lpstr>
      <vt:lpstr>Precios</vt:lpstr>
      <vt:lpstr>Pedidos</vt:lpstr>
      <vt:lpstr>DetallePedido</vt:lpstr>
      <vt:lpstr>TabDinam</vt:lpstr>
      <vt:lpstr>Dashboard</vt:lpstr>
      <vt:lpstr>Opciones</vt:lpstr>
      <vt:lpstr>BARNIZ</vt:lpstr>
      <vt:lpstr>BARNIZ_ACRÍLICO</vt:lpstr>
      <vt:lpstr>FIGURA_COLOR_SELECCIÓN</vt:lpstr>
      <vt:lpstr>Insumos</vt:lpstr>
      <vt:lpstr>TRAT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REGISTRO DE TRABAJO 2020</dc:title>
  <dc:creator>QM IMPRESIONES</dc:creator>
  <cp:lastModifiedBy>Marcelo</cp:lastModifiedBy>
  <dcterms:created xsi:type="dcterms:W3CDTF">2020-02-26T05:11:09Z</dcterms:created>
  <dcterms:modified xsi:type="dcterms:W3CDTF">2021-06-23T00:13:37Z</dcterms:modified>
</cp:coreProperties>
</file>